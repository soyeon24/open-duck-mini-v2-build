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품목록" sheetId="1" state="visible" r:id="rId1"/>
    <sheet xmlns:r="http://schemas.openxmlformats.org/officeDocument/2006/relationships" name="근거·가정" sheetId="2" state="visible" r:id="rId2"/>
  </sheets>
  <definedNames>
    <definedName name="_xlnm._FilterDatabase" localSheetId="0" hidden="1">'부품목록'!$A$1:$W$37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i val="1"/>
      <sz val="9"/>
    </font>
    <font>
      <name val="Arial"/>
      <b val="1"/>
      <sz val="14"/>
    </font>
    <font>
      <name val="Arial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9" fontId="2" fillId="0" borderId="1" applyAlignment="1" pivotButton="0" quotePrefix="0" xfId="0">
      <alignment horizontal="center"/>
    </xf>
    <xf numFmtId="164" fontId="2" fillId="0" borderId="1" pivotButton="0" quotePrefix="0" xfId="0"/>
    <xf numFmtId="2" fontId="2" fillId="0" borderId="1" pivotButton="0" quotePrefix="0" xfId="0"/>
    <xf numFmtId="0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9" fontId="2" fillId="3" borderId="1" applyAlignment="1" pivotButton="0" quotePrefix="0" xfId="0">
      <alignment horizontal="center"/>
    </xf>
    <xf numFmtId="164" fontId="2" fillId="3" borderId="1" pivotButton="0" quotePrefix="0" xfId="0"/>
    <xf numFmtId="2" fontId="2" fillId="3" borderId="1" pivotButton="0" quotePrefix="0" xfId="0"/>
    <xf numFmtId="0" fontId="3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7" customWidth="1" min="4" max="4"/>
    <col width="7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9" customWidth="1" min="15" max="15"/>
    <col width="40" customWidth="1" min="16" max="16"/>
    <col width="11" customWidth="1" min="17" max="17"/>
    <col width="12" customWidth="1" min="18" max="18"/>
    <col width="11" customWidth="1" min="19" max="19"/>
    <col width="13" customWidth="1" min="20" max="20"/>
    <col width="13" customWidth="1" min="21" max="21"/>
    <col width="9" customWidth="1" min="22" max="22"/>
    <col width="10" customWidth="1" min="23" max="23"/>
  </cols>
  <sheetData>
    <row r="1" ht="34" customHeight="1">
      <c r="A1" s="1" t="inlineStr">
        <is>
          <t>No.</t>
        </is>
      </c>
      <c r="B1" s="1" t="inlineStr">
        <is>
          <t>STL 파일명</t>
        </is>
      </c>
      <c r="C1" s="1" t="inlineStr">
        <is>
          <t>수량</t>
        </is>
      </c>
      <c r="D1" s="1" t="inlineStr">
        <is>
          <t>소재</t>
        </is>
      </c>
      <c r="E1" s="1" t="inlineStr">
        <is>
          <t>인필</t>
        </is>
      </c>
      <c r="F1" s="1" t="inlineStr">
        <is>
          <t>크기 X
(mm)</t>
        </is>
      </c>
      <c r="G1" s="1" t="inlineStr">
        <is>
          <t>크기 Y
(mm)</t>
        </is>
      </c>
      <c r="H1" s="1" t="inlineStr">
        <is>
          <t>크기 Z
(mm)</t>
        </is>
      </c>
      <c r="I1" s="1" t="inlineStr">
        <is>
          <t>최소치수
(mm)</t>
        </is>
      </c>
      <c r="J1" s="1" t="inlineStr">
        <is>
          <t>실체적
(cm3/개)</t>
        </is>
      </c>
      <c r="K1" s="1" t="inlineStr">
        <is>
          <t>총 체적
(cm3)</t>
        </is>
      </c>
      <c r="L1" s="1" t="inlineStr">
        <is>
          <t>필라멘트
(g/개)</t>
        </is>
      </c>
      <c r="M1" s="1" t="inlineStr">
        <is>
          <t>총 필라멘트
(g)</t>
        </is>
      </c>
      <c r="N1" s="1" t="inlineStr">
        <is>
          <t>M3 인서트
(개/개)</t>
        </is>
      </c>
      <c r="O1" s="1" t="inlineStr">
        <is>
          <t>626ZZ
베어링</t>
        </is>
      </c>
      <c r="P1" s="1" t="inlineStr">
        <is>
          <t>검출된 구멍 (지름mm x 개수)</t>
        </is>
      </c>
      <c r="Q1" s="1" t="inlineStr">
        <is>
          <t>평균 살두께
(mm)</t>
        </is>
      </c>
      <c r="R1" s="1" t="inlineStr">
        <is>
          <t>출력시간 H2D
(h/개)</t>
        </is>
      </c>
      <c r="S1" s="1" t="inlineStr">
        <is>
          <t>총 출력시간
(h)</t>
        </is>
      </c>
      <c r="T1" s="1" t="inlineStr">
        <is>
          <t>JLC3DP PLA-P
30x30x10</t>
        </is>
      </c>
      <c r="U1" s="1" t="inlineStr">
        <is>
          <t>아이컨택 FDM
30x30x15</t>
        </is>
      </c>
      <c r="V1" s="1" t="inlineStr">
        <is>
          <t>파일크기
(MB)</t>
        </is>
      </c>
      <c r="W1" s="1" t="inlineStr">
        <is>
          <t>삼각형 수</t>
        </is>
      </c>
    </row>
    <row r="2">
      <c r="A2" s="2" t="n">
        <v>1</v>
      </c>
      <c r="B2" s="3" t="inlineStr">
        <is>
          <t>battery_pack_lid.stl</t>
        </is>
      </c>
      <c r="C2" s="2" t="n">
        <v>1</v>
      </c>
      <c r="D2" s="2" t="inlineStr">
        <is>
          <t>PLA</t>
        </is>
      </c>
      <c r="E2" s="4" t="n">
        <v>0.15</v>
      </c>
      <c r="F2" s="5" t="n">
        <v>7.5</v>
      </c>
      <c r="G2" s="5" t="n">
        <v>51.39999771118164</v>
      </c>
      <c r="H2" s="5" t="n">
        <v>86.39999485015869</v>
      </c>
      <c r="I2" s="5" t="n">
        <v>7.5</v>
      </c>
      <c r="J2" s="5" t="n">
        <v>23.64010389995517</v>
      </c>
      <c r="K2" s="5">
        <f>J2*C2</f>
        <v/>
      </c>
      <c r="L2" s="5" t="n">
        <v>13.63311646174685</v>
      </c>
      <c r="M2" s="5">
        <f>L2*C2</f>
        <v/>
      </c>
      <c r="N2" s="2" t="n">
        <v>0</v>
      </c>
      <c r="O2" s="2" t="n">
        <v>0</v>
      </c>
      <c r="P2" s="3" t="inlineStr">
        <is>
          <t>D2.5 x4</t>
        </is>
      </c>
      <c r="Q2" s="5" t="n">
        <v>4.586192738155308</v>
      </c>
      <c r="R2" s="6" t="n">
        <v>0.2088786807309864</v>
      </c>
      <c r="S2" s="6">
        <f>R2*C2</f>
        <v/>
      </c>
      <c r="T2" s="7" t="inlineStr">
        <is>
          <t>미달</t>
        </is>
      </c>
      <c r="U2" s="7" t="inlineStr">
        <is>
          <t>미달</t>
        </is>
      </c>
      <c r="V2" s="6" t="n">
        <v>0.09718400000000001</v>
      </c>
      <c r="W2" s="8" t="n">
        <v>1942</v>
      </c>
    </row>
    <row r="3">
      <c r="A3" s="2" t="n">
        <v>2</v>
      </c>
      <c r="B3" s="3" t="inlineStr">
        <is>
          <t>body_back.stl</t>
        </is>
      </c>
      <c r="C3" s="2" t="n">
        <v>1</v>
      </c>
      <c r="D3" s="2" t="inlineStr">
        <is>
          <t>PLA</t>
        </is>
      </c>
      <c r="E3" s="4" t="n">
        <v>0.15</v>
      </c>
      <c r="F3" s="5" t="n">
        <v>40</v>
      </c>
      <c r="G3" s="5" t="n">
        <v>110</v>
      </c>
      <c r="H3" s="5" t="n">
        <v>125</v>
      </c>
      <c r="I3" s="5" t="n">
        <v>40</v>
      </c>
      <c r="J3" s="5" t="n">
        <v>105.5255828139855</v>
      </c>
      <c r="K3" s="5">
        <f>J3*C3</f>
        <v/>
      </c>
      <c r="L3" s="5" t="n">
        <v>62.46319541578769</v>
      </c>
      <c r="M3" s="5">
        <f>L3*C3</f>
        <v/>
      </c>
      <c r="N3" s="2" t="n">
        <v>0</v>
      </c>
      <c r="O3" s="2" t="n">
        <v>0</v>
      </c>
      <c r="P3" s="3" t="inlineStr">
        <is>
          <t>D2.0 x5, D6.0 x1</t>
        </is>
      </c>
      <c r="Q3" s="5" t="n">
        <v>4.414119534520544</v>
      </c>
      <c r="R3" s="6" t="n">
        <v>0.9606211979657662</v>
      </c>
      <c r="S3" s="6">
        <f>R3*C3</f>
        <v/>
      </c>
      <c r="T3" s="2" t="inlineStr">
        <is>
          <t>통과</t>
        </is>
      </c>
      <c r="U3" s="2" t="inlineStr">
        <is>
          <t>통과</t>
        </is>
      </c>
      <c r="V3" s="6" t="n">
        <v>0.353884</v>
      </c>
      <c r="W3" s="8" t="n">
        <v>7076</v>
      </c>
    </row>
    <row r="4">
      <c r="A4" s="2" t="n">
        <v>3</v>
      </c>
      <c r="B4" s="3" t="inlineStr">
        <is>
          <t>body_front.stl</t>
        </is>
      </c>
      <c r="C4" s="2" t="n">
        <v>1</v>
      </c>
      <c r="D4" s="2" t="inlineStr">
        <is>
          <t>PLA</t>
        </is>
      </c>
      <c r="E4" s="4" t="n">
        <v>0.15</v>
      </c>
      <c r="F4" s="5" t="n">
        <v>10</v>
      </c>
      <c r="G4" s="5" t="n">
        <v>110</v>
      </c>
      <c r="H4" s="5" t="n">
        <v>143</v>
      </c>
      <c r="I4" s="5" t="n">
        <v>10</v>
      </c>
      <c r="J4" s="5" t="n">
        <v>142.637425127258</v>
      </c>
      <c r="K4" s="5">
        <f>J4*C4</f>
        <v/>
      </c>
      <c r="L4" s="5" t="n">
        <v>57.29408978590539</v>
      </c>
      <c r="M4" s="5">
        <f>L4*C4</f>
        <v/>
      </c>
      <c r="N4" s="2" t="n">
        <v>0</v>
      </c>
      <c r="O4" s="2" t="n">
        <v>0</v>
      </c>
      <c r="P4" s="3" t="inlineStr">
        <is>
          <t>D3.5 x8, D6.5 x8</t>
        </is>
      </c>
      <c r="Q4" s="5" t="n">
        <v>8.307816074473001</v>
      </c>
      <c r="R4" s="6" t="n">
        <v>0.8625909466234378</v>
      </c>
      <c r="S4" s="6">
        <f>R4*C4</f>
        <v/>
      </c>
      <c r="T4" s="2" t="inlineStr">
        <is>
          <t>통과</t>
        </is>
      </c>
      <c r="U4" s="7" t="inlineStr">
        <is>
          <t>미달</t>
        </is>
      </c>
      <c r="V4" s="6" t="n">
        <v>0.195384</v>
      </c>
      <c r="W4" s="8" t="n">
        <v>3906</v>
      </c>
    </row>
    <row r="5">
      <c r="A5" s="2" t="n">
        <v>4</v>
      </c>
      <c r="B5" s="3" t="inlineStr">
        <is>
          <t>body_middle_bottom.stl</t>
        </is>
      </c>
      <c r="C5" s="2" t="n">
        <v>1</v>
      </c>
      <c r="D5" s="2" t="inlineStr">
        <is>
          <t>PLA</t>
        </is>
      </c>
      <c r="E5" s="4" t="n">
        <v>0.15</v>
      </c>
      <c r="F5" s="5" t="n">
        <v>150</v>
      </c>
      <c r="G5" s="5" t="n">
        <v>110</v>
      </c>
      <c r="H5" s="5" t="n">
        <v>86.22499942779541</v>
      </c>
      <c r="I5" s="5" t="n">
        <v>86.22499942779541</v>
      </c>
      <c r="J5" s="5" t="n">
        <v>147.4937016015828</v>
      </c>
      <c r="K5" s="5">
        <f>J5*C5</f>
        <v/>
      </c>
      <c r="L5" s="5" t="n">
        <v>80.39909403837351</v>
      </c>
      <c r="M5" s="5">
        <f>L5*C5</f>
        <v/>
      </c>
      <c r="N5" s="2" t="n">
        <v>0</v>
      </c>
      <c r="O5" s="2" t="n">
        <v>0</v>
      </c>
      <c r="P5" s="3" t="inlineStr">
        <is>
          <t>D3.0 x8, D3.2 x4, D6.5 x4</t>
        </is>
      </c>
      <c r="Q5" s="5" t="n">
        <v>4.989670340229646</v>
      </c>
      <c r="R5" s="6" t="n">
        <v>1.260564427096379</v>
      </c>
      <c r="S5" s="6">
        <f>R5*C5</f>
        <v/>
      </c>
      <c r="T5" s="2" t="inlineStr">
        <is>
          <t>통과</t>
        </is>
      </c>
      <c r="U5" s="2" t="inlineStr">
        <is>
          <t>통과</t>
        </is>
      </c>
      <c r="V5" s="6" t="n">
        <v>0.339884</v>
      </c>
      <c r="W5" s="8" t="n">
        <v>6796</v>
      </c>
    </row>
    <row r="6">
      <c r="A6" s="2" t="n">
        <v>5</v>
      </c>
      <c r="B6" s="3" t="inlineStr">
        <is>
          <t>body_middle_top.stl</t>
        </is>
      </c>
      <c r="C6" s="2" t="n">
        <v>1</v>
      </c>
      <c r="D6" s="2" t="inlineStr">
        <is>
          <t>PLA</t>
        </is>
      </c>
      <c r="E6" s="4" t="n">
        <v>0.15</v>
      </c>
      <c r="F6" s="5" t="n">
        <v>150</v>
      </c>
      <c r="G6" s="5" t="n">
        <v>110</v>
      </c>
      <c r="H6" s="5" t="n">
        <v>56.77500057220459</v>
      </c>
      <c r="I6" s="5" t="n">
        <v>56.77500057220459</v>
      </c>
      <c r="J6" s="5" t="n">
        <v>76.2598776857005</v>
      </c>
      <c r="K6" s="5">
        <f>J6*C6</f>
        <v/>
      </c>
      <c r="L6" s="5" t="n">
        <v>62.47778779974457</v>
      </c>
      <c r="M6" s="5">
        <f>L6*C6</f>
        <v/>
      </c>
      <c r="N6" s="2" t="n">
        <v>4</v>
      </c>
      <c r="O6" s="2" t="n">
        <v>0</v>
      </c>
      <c r="P6" s="3" t="inlineStr">
        <is>
          <t>D3.0 x8, D4.0 x4</t>
        </is>
      </c>
      <c r="Q6" s="5" t="n">
        <v>2.829419875376044</v>
      </c>
      <c r="R6" s="6" t="n">
        <v>0.9725057915135092</v>
      </c>
      <c r="S6" s="6">
        <f>R6*C6</f>
        <v/>
      </c>
      <c r="T6" s="2" t="inlineStr">
        <is>
          <t>통과</t>
        </is>
      </c>
      <c r="U6" s="2" t="inlineStr">
        <is>
          <t>통과</t>
        </is>
      </c>
      <c r="V6" s="6" t="n">
        <v>0.244684</v>
      </c>
      <c r="W6" s="8" t="n">
        <v>4892</v>
      </c>
    </row>
    <row r="7">
      <c r="A7" s="2" t="n">
        <v>6</v>
      </c>
      <c r="B7" s="3" t="inlineStr">
        <is>
          <t>bulb.stl</t>
        </is>
      </c>
      <c r="C7" s="2" t="n">
        <v>1</v>
      </c>
      <c r="D7" s="2" t="inlineStr">
        <is>
          <t>PLA</t>
        </is>
      </c>
      <c r="E7" s="4" t="n">
        <v>0.15</v>
      </c>
      <c r="F7" s="5" t="n">
        <v>2</v>
      </c>
      <c r="G7" s="5" t="n">
        <v>35</v>
      </c>
      <c r="H7" s="5" t="n">
        <v>35.00000762939453</v>
      </c>
      <c r="I7" s="5" t="n">
        <v>2</v>
      </c>
      <c r="J7" s="5" t="n">
        <v>1.694865703619301</v>
      </c>
      <c r="K7" s="5">
        <f>J7*C7</f>
        <v/>
      </c>
      <c r="L7" s="5" t="n">
        <v>2.101633472487933</v>
      </c>
      <c r="M7" s="5">
        <f>L7*C7</f>
        <v/>
      </c>
      <c r="N7" s="2" t="n">
        <v>0</v>
      </c>
      <c r="O7" s="2" t="n">
        <v>0</v>
      </c>
      <c r="P7" s="3" t="inlineStr">
        <is>
          <t>-</t>
        </is>
      </c>
      <c r="Q7" s="5" t="n">
        <v>1.500550026164609</v>
      </c>
      <c r="R7" s="6" t="n">
        <v>0.03277529080776483</v>
      </c>
      <c r="S7" s="6">
        <f>R7*C7</f>
        <v/>
      </c>
      <c r="T7" s="7" t="inlineStr">
        <is>
          <t>미달</t>
        </is>
      </c>
      <c r="U7" s="7" t="inlineStr">
        <is>
          <t>미달</t>
        </is>
      </c>
      <c r="V7" s="6" t="n">
        <v>0.139884</v>
      </c>
      <c r="W7" s="8" t="n">
        <v>2796</v>
      </c>
    </row>
    <row r="8">
      <c r="A8" s="2" t="n">
        <v>7</v>
      </c>
      <c r="B8" s="3" t="inlineStr">
        <is>
          <t>flash_light_module.stl</t>
        </is>
      </c>
      <c r="C8" s="2" t="n">
        <v>1</v>
      </c>
      <c r="D8" s="2" t="inlineStr">
        <is>
          <t>PLA</t>
        </is>
      </c>
      <c r="E8" s="4" t="n">
        <v>0.15</v>
      </c>
      <c r="F8" s="5" t="n">
        <v>28</v>
      </c>
      <c r="G8" s="5" t="n">
        <v>31.45304107666016</v>
      </c>
      <c r="H8" s="5" t="n">
        <v>41.00540924072266</v>
      </c>
      <c r="I8" s="5" t="n">
        <v>28</v>
      </c>
      <c r="J8" s="5" t="n">
        <v>12.52009083201035</v>
      </c>
      <c r="K8" s="5">
        <f>J8*C8</f>
        <v/>
      </c>
      <c r="L8" s="5" t="n">
        <v>7.327831580516712</v>
      </c>
      <c r="M8" s="5">
        <f>L8*C8</f>
        <v/>
      </c>
      <c r="N8" s="2" t="n">
        <v>9</v>
      </c>
      <c r="O8" s="2" t="n">
        <v>0</v>
      </c>
      <c r="P8" s="3" t="inlineStr">
        <is>
          <t>D4.0 x4, D4.1 x1, D4.2 x1, D4.3 x1, D4.4 x1, D4.5 x1, D4.7 x1, D4.8 x1, D5.0 x1, D5.2 x1, D5.4 x1, D5.6 x1, D5.8 x1, D6.0 x2, D21.9 x1</t>
        </is>
      </c>
      <c r="Q8" s="5" t="n">
        <v>4.487512272309188</v>
      </c>
      <c r="R8" s="6" t="n">
        <v>0.1288803999479796</v>
      </c>
      <c r="S8" s="6">
        <f>R8*C8</f>
        <v/>
      </c>
      <c r="T8" s="2" t="inlineStr">
        <is>
          <t>통과</t>
        </is>
      </c>
      <c r="U8" s="2" t="inlineStr">
        <is>
          <t>통과</t>
        </is>
      </c>
      <c r="V8" s="6" t="n">
        <v>0.328784</v>
      </c>
      <c r="W8" s="8" t="n">
        <v>6574</v>
      </c>
    </row>
    <row r="9">
      <c r="A9" s="2" t="n">
        <v>8</v>
      </c>
      <c r="B9" s="3" t="inlineStr">
        <is>
          <t>flash_reflector_interface.stl</t>
        </is>
      </c>
      <c r="C9" s="2" t="n">
        <v>1</v>
      </c>
      <c r="D9" s="2" t="inlineStr">
        <is>
          <t>PLA</t>
        </is>
      </c>
      <c r="E9" s="4" t="n">
        <v>0.15</v>
      </c>
      <c r="F9" s="5" t="n">
        <v>12.69999694824219</v>
      </c>
      <c r="G9" s="5" t="n">
        <v>22.96627044677734</v>
      </c>
      <c r="H9" s="5" t="n">
        <v>22.99998474121094</v>
      </c>
      <c r="I9" s="5" t="n">
        <v>12.69999694824219</v>
      </c>
      <c r="J9" s="5" t="n">
        <v>2.207675229931824</v>
      </c>
      <c r="K9" s="5">
        <f>J9*C9</f>
        <v/>
      </c>
      <c r="L9" s="5" t="n">
        <v>2.292375389896437</v>
      </c>
      <c r="M9" s="5">
        <f>L9*C9</f>
        <v/>
      </c>
      <c r="N9" s="2" t="n">
        <v>0</v>
      </c>
      <c r="O9" s="2" t="n">
        <v>1</v>
      </c>
      <c r="P9" s="3" t="inlineStr">
        <is>
          <t>D13.0 x1, D20.1 x1</t>
        </is>
      </c>
      <c r="Q9" s="5" t="n">
        <v>2.102148057793324</v>
      </c>
      <c r="R9" s="6" t="n">
        <v>0.04298499686225266</v>
      </c>
      <c r="S9" s="6">
        <f>R9*C9</f>
        <v/>
      </c>
      <c r="T9" s="7" t="inlineStr">
        <is>
          <t>미달</t>
        </is>
      </c>
      <c r="U9" s="7" t="inlineStr">
        <is>
          <t>미달</t>
        </is>
      </c>
      <c r="V9" s="6" t="n">
        <v>0.044484</v>
      </c>
      <c r="W9" s="8" t="n">
        <v>888</v>
      </c>
    </row>
    <row r="10">
      <c r="A10" s="2" t="n">
        <v>9</v>
      </c>
      <c r="B10" s="3" t="inlineStr">
        <is>
          <t>foot_bottom_pla.stl</t>
        </is>
      </c>
      <c r="C10" s="2" t="n">
        <v>2</v>
      </c>
      <c r="D10" s="2" t="inlineStr">
        <is>
          <t>PLA</t>
        </is>
      </c>
      <c r="E10" s="4" t="n">
        <v>0.15</v>
      </c>
      <c r="F10" s="5" t="n">
        <v>92.97499847412109</v>
      </c>
      <c r="G10" s="5" t="n">
        <v>27.69999694824219</v>
      </c>
      <c r="H10" s="5" t="n">
        <v>8</v>
      </c>
      <c r="I10" s="5" t="n">
        <v>8</v>
      </c>
      <c r="J10" s="5" t="n">
        <v>15.88451778288174</v>
      </c>
      <c r="K10" s="5">
        <f>J10*C10</f>
        <v/>
      </c>
      <c r="L10" s="5" t="n">
        <v>9.098734723232916</v>
      </c>
      <c r="M10" s="5">
        <f>L10*C10</f>
        <v/>
      </c>
      <c r="N10" s="2" t="n">
        <v>2</v>
      </c>
      <c r="O10" s="2" t="n">
        <v>0</v>
      </c>
      <c r="P10" s="3" t="inlineStr">
        <is>
          <t>D3.2 x2, D4.0 x2</t>
        </is>
      </c>
      <c r="Q10" s="5" t="n">
        <v>4.632305619254627</v>
      </c>
      <c r="R10" s="6" t="n">
        <v>0.1414386906098106</v>
      </c>
      <c r="S10" s="6">
        <f>R10*C10</f>
        <v/>
      </c>
      <c r="T10" s="7" t="inlineStr">
        <is>
          <t>미달</t>
        </is>
      </c>
      <c r="U10" s="7" t="inlineStr">
        <is>
          <t>미달</t>
        </is>
      </c>
      <c r="V10" s="6" t="n">
        <v>0.048084</v>
      </c>
      <c r="W10" s="8" t="n">
        <v>960</v>
      </c>
    </row>
    <row r="11">
      <c r="A11" s="9" t="n">
        <v>10</v>
      </c>
      <c r="B11" s="10" t="inlineStr">
        <is>
          <t>foot_bottom_tpu.stl</t>
        </is>
      </c>
      <c r="C11" s="9" t="n">
        <v>2</v>
      </c>
      <c r="D11" s="9" t="inlineStr">
        <is>
          <t>TPU</t>
        </is>
      </c>
      <c r="E11" s="11" t="n">
        <v>0.4</v>
      </c>
      <c r="F11" s="12" t="n">
        <v>101.9307098388672</v>
      </c>
      <c r="G11" s="12" t="n">
        <v>40.73387145996094</v>
      </c>
      <c r="H11" s="12" t="n">
        <v>8</v>
      </c>
      <c r="I11" s="12" t="n">
        <v>8</v>
      </c>
      <c r="J11" s="12" t="n">
        <v>23.59778658439972</v>
      </c>
      <c r="K11" s="12">
        <f>J11*C11</f>
        <v/>
      </c>
      <c r="L11" s="12" t="n">
        <v>17.14396701420729</v>
      </c>
      <c r="M11" s="12">
        <f>L11*C11</f>
        <v/>
      </c>
      <c r="N11" s="9" t="n">
        <v>0</v>
      </c>
      <c r="O11" s="9" t="n">
        <v>0</v>
      </c>
      <c r="P11" s="10" t="inlineStr">
        <is>
          <t>D3.4 x2, D6.5 x2</t>
        </is>
      </c>
      <c r="Q11" s="12" t="n">
        <v>5.089328844183582</v>
      </c>
      <c r="R11" s="13" t="n">
        <v>0.2679364403766039</v>
      </c>
      <c r="S11" s="13">
        <f>R11*C11</f>
        <v/>
      </c>
      <c r="T11" s="14" t="inlineStr">
        <is>
          <t>미달</t>
        </is>
      </c>
      <c r="U11" s="14" t="inlineStr">
        <is>
          <t>미달</t>
        </is>
      </c>
      <c r="V11" s="13" t="n">
        <v>0.07738399999999999</v>
      </c>
      <c r="W11" s="15" t="n">
        <v>1546</v>
      </c>
    </row>
    <row r="12">
      <c r="A12" s="2" t="n">
        <v>11</v>
      </c>
      <c r="B12" s="3" t="inlineStr">
        <is>
          <t>foot_side.stl</t>
        </is>
      </c>
      <c r="C12" s="2" t="n">
        <v>2</v>
      </c>
      <c r="D12" s="2" t="inlineStr">
        <is>
          <t>PLA</t>
        </is>
      </c>
      <c r="E12" s="4" t="n">
        <v>0.15</v>
      </c>
      <c r="F12" s="5" t="n">
        <v>103.4646759033203</v>
      </c>
      <c r="G12" s="5" t="n">
        <v>12.00000762939453</v>
      </c>
      <c r="H12" s="5" t="n">
        <v>45.98541259765625</v>
      </c>
      <c r="I12" s="5" t="n">
        <v>12.00000762939453</v>
      </c>
      <c r="J12" s="5" t="n">
        <v>21.44931536018295</v>
      </c>
      <c r="K12" s="5">
        <f>J12*C12</f>
        <v/>
      </c>
      <c r="L12" s="5" t="n">
        <v>12.54506355548307</v>
      </c>
      <c r="M12" s="5">
        <f>L12*C12</f>
        <v/>
      </c>
      <c r="N12" s="2" t="n">
        <v>0</v>
      </c>
      <c r="O12" s="2" t="n">
        <v>0</v>
      </c>
      <c r="P12" s="3" t="inlineStr">
        <is>
          <t>D3.5 x2, D6.5 x2</t>
        </is>
      </c>
      <c r="Q12" s="5" t="n">
        <v>4.49218913541984</v>
      </c>
      <c r="R12" s="6" t="n">
        <v>0.1956849395980148</v>
      </c>
      <c r="S12" s="6">
        <f>R12*C12</f>
        <v/>
      </c>
      <c r="T12" s="2" t="inlineStr">
        <is>
          <t>통과</t>
        </is>
      </c>
      <c r="U12" s="7" t="inlineStr">
        <is>
          <t>미달</t>
        </is>
      </c>
      <c r="V12" s="6" t="n">
        <v>0.190084</v>
      </c>
      <c r="W12" s="8" t="n">
        <v>3800</v>
      </c>
    </row>
    <row r="13">
      <c r="A13" s="2" t="n">
        <v>12</v>
      </c>
      <c r="B13" s="3" t="inlineStr">
        <is>
          <t>foot_top.stl</t>
        </is>
      </c>
      <c r="C13" s="2" t="n">
        <v>2</v>
      </c>
      <c r="D13" s="2" t="inlineStr">
        <is>
          <t>PLA</t>
        </is>
      </c>
      <c r="E13" s="4" t="n">
        <v>0.15</v>
      </c>
      <c r="F13" s="5" t="n">
        <v>103.4667205810547</v>
      </c>
      <c r="G13" s="5" t="n">
        <v>34.90000152587891</v>
      </c>
      <c r="H13" s="5" t="n">
        <v>45.98541259765625</v>
      </c>
      <c r="I13" s="5" t="n">
        <v>34.90000152587891</v>
      </c>
      <c r="J13" s="5" t="n">
        <v>39.65326584923632</v>
      </c>
      <c r="K13" s="5">
        <f>J13*C13</f>
        <v/>
      </c>
      <c r="L13" s="5" t="n">
        <v>21.66849176025163</v>
      </c>
      <c r="M13" s="5">
        <f>L13*C13</f>
        <v/>
      </c>
      <c r="N13" s="2" t="n">
        <v>2</v>
      </c>
      <c r="O13" s="2" t="n">
        <v>0</v>
      </c>
      <c r="P13" s="3" t="inlineStr">
        <is>
          <t>D2.0 x2, D4.0 x2</t>
        </is>
      </c>
      <c r="Q13" s="5" t="n">
        <v>4.97102076069233</v>
      </c>
      <c r="R13" s="6" t="n">
        <v>0.3479090764673182</v>
      </c>
      <c r="S13" s="6">
        <f>R13*C13</f>
        <v/>
      </c>
      <c r="T13" s="2" t="inlineStr">
        <is>
          <t>통과</t>
        </is>
      </c>
      <c r="U13" s="2" t="inlineStr">
        <is>
          <t>통과</t>
        </is>
      </c>
      <c r="V13" s="6" t="n">
        <v>0.181384</v>
      </c>
      <c r="W13" s="8" t="n">
        <v>3626</v>
      </c>
    </row>
    <row r="14">
      <c r="A14" s="2" t="n">
        <v>13</v>
      </c>
      <c r="B14" s="3" t="inlineStr">
        <is>
          <t>head.stl</t>
        </is>
      </c>
      <c r="C14" s="2" t="n">
        <v>1</v>
      </c>
      <c r="D14" s="2" t="inlineStr">
        <is>
          <t>PLA</t>
        </is>
      </c>
      <c r="E14" s="4" t="n">
        <v>0.15</v>
      </c>
      <c r="F14" s="5" t="n">
        <v>199.845703125</v>
      </c>
      <c r="G14" s="5" t="n">
        <v>197.3159637451172</v>
      </c>
      <c r="H14" s="5" t="n">
        <v>59.40000152587891</v>
      </c>
      <c r="I14" s="5" t="n">
        <v>59.40000152587891</v>
      </c>
      <c r="J14" s="5" t="n">
        <v>229.3501822044221</v>
      </c>
      <c r="K14" s="5">
        <f>J14*C14</f>
        <v/>
      </c>
      <c r="L14" s="5" t="n">
        <v>164.2298544204678</v>
      </c>
      <c r="M14" s="5">
        <f>L14*C14</f>
        <v/>
      </c>
      <c r="N14" s="2" t="n">
        <v>4</v>
      </c>
      <c r="O14" s="2" t="n">
        <v>0</v>
      </c>
      <c r="P14" s="3" t="inlineStr">
        <is>
          <t>D3.2 x12, D4.0 x4, D7.7 x2, D10.0 x8</t>
        </is>
      </c>
      <c r="Q14" s="5" t="n">
        <v>3.380334135397085</v>
      </c>
      <c r="R14" s="6" t="n">
        <v>2.49390612933793</v>
      </c>
      <c r="S14" s="6">
        <f>R14*C14</f>
        <v/>
      </c>
      <c r="T14" s="2" t="inlineStr">
        <is>
          <t>통과</t>
        </is>
      </c>
      <c r="U14" s="2" t="inlineStr">
        <is>
          <t>통과</t>
        </is>
      </c>
      <c r="V14" s="6" t="n">
        <v>1.784584</v>
      </c>
      <c r="W14" s="8" t="n">
        <v>35690</v>
      </c>
    </row>
    <row r="15">
      <c r="A15" s="2" t="n">
        <v>14</v>
      </c>
      <c r="B15" s="3" t="inlineStr">
        <is>
          <t>head_bot_sheet.stl</t>
        </is>
      </c>
      <c r="C15" s="2" t="n">
        <v>1</v>
      </c>
      <c r="D15" s="2" t="inlineStr">
        <is>
          <t>PLA</t>
        </is>
      </c>
      <c r="E15" s="4" t="n">
        <v>0.15</v>
      </c>
      <c r="F15" s="5" t="n">
        <v>193.7999954223633</v>
      </c>
      <c r="G15" s="5" t="n">
        <v>191.6149444580078</v>
      </c>
      <c r="H15" s="5" t="n">
        <v>3</v>
      </c>
      <c r="I15" s="5" t="n">
        <v>3</v>
      </c>
      <c r="J15" s="5" t="n">
        <v>65.90735464960667</v>
      </c>
      <c r="K15" s="5">
        <f>J15*C15</f>
        <v/>
      </c>
      <c r="L15" s="5" t="n">
        <v>56.917397993581</v>
      </c>
      <c r="M15" s="5">
        <f>L15*C15</f>
        <v/>
      </c>
      <c r="N15" s="2" t="n">
        <v>0</v>
      </c>
      <c r="O15" s="2" t="n">
        <v>0</v>
      </c>
      <c r="P15" s="3" t="inlineStr">
        <is>
          <t>-</t>
        </is>
      </c>
      <c r="Q15" s="5" t="n">
        <v>2.644344396259565</v>
      </c>
      <c r="R15" s="6" t="n">
        <v>0.8521042113736709</v>
      </c>
      <c r="S15" s="6">
        <f>R15*C15</f>
        <v/>
      </c>
      <c r="T15" s="7" t="inlineStr">
        <is>
          <t>미달</t>
        </is>
      </c>
      <c r="U15" s="7" t="inlineStr">
        <is>
          <t>미달</t>
        </is>
      </c>
      <c r="V15" s="6" t="n">
        <v>0.238884</v>
      </c>
      <c r="W15" s="8" t="n">
        <v>4776</v>
      </c>
    </row>
    <row r="16">
      <c r="A16" s="2" t="n">
        <v>15</v>
      </c>
      <c r="B16" s="3" t="inlineStr">
        <is>
          <t>head_pitch_to_yaw.stl</t>
        </is>
      </c>
      <c r="C16" s="2" t="n">
        <v>1</v>
      </c>
      <c r="D16" s="2" t="inlineStr">
        <is>
          <t>PLA</t>
        </is>
      </c>
      <c r="E16" s="4" t="n">
        <v>0.15</v>
      </c>
      <c r="F16" s="5" t="n">
        <v>31.98531341552734</v>
      </c>
      <c r="G16" s="5" t="n">
        <v>44.89999961853027</v>
      </c>
      <c r="H16" s="5" t="n">
        <v>72</v>
      </c>
      <c r="I16" s="5" t="n">
        <v>31.98531341552734</v>
      </c>
      <c r="J16" s="5" t="n">
        <v>13.54820150683253</v>
      </c>
      <c r="K16" s="5">
        <f>J16*C16</f>
        <v/>
      </c>
      <c r="L16" s="5" t="n">
        <v>11.01288779104407</v>
      </c>
      <c r="M16" s="5">
        <f>L16*C16</f>
        <v/>
      </c>
      <c r="N16" s="2" t="n">
        <v>0</v>
      </c>
      <c r="O16" s="2" t="n">
        <v>0</v>
      </c>
      <c r="P16" s="3" t="inlineStr">
        <is>
          <t>-</t>
        </is>
      </c>
      <c r="Q16" s="5" t="n">
        <v>2.858340930441457</v>
      </c>
      <c r="R16" s="6" t="n">
        <v>0.1866918726261061</v>
      </c>
      <c r="S16" s="6">
        <f>R16*C16</f>
        <v/>
      </c>
      <c r="T16" s="2" t="inlineStr">
        <is>
          <t>통과</t>
        </is>
      </c>
      <c r="U16" s="2" t="inlineStr">
        <is>
          <t>통과</t>
        </is>
      </c>
      <c r="V16" s="6" t="n">
        <v>0.5355839999999999</v>
      </c>
      <c r="W16" s="8" t="n">
        <v>10710</v>
      </c>
    </row>
    <row r="17">
      <c r="A17" s="2" t="n">
        <v>16</v>
      </c>
      <c r="B17" s="3" t="inlineStr">
        <is>
          <t>head_roll_mount.stl</t>
        </is>
      </c>
      <c r="C17" s="2" t="n">
        <v>1</v>
      </c>
      <c r="D17" s="2" t="inlineStr">
        <is>
          <t>PLA</t>
        </is>
      </c>
      <c r="E17" s="4" t="n">
        <v>0.15</v>
      </c>
      <c r="F17" s="5" t="n">
        <v>40</v>
      </c>
      <c r="G17" s="5" t="n">
        <v>64.72483825683594</v>
      </c>
      <c r="H17" s="5" t="n">
        <v>15.10000610351562</v>
      </c>
      <c r="I17" s="5" t="n">
        <v>15.10000610351562</v>
      </c>
      <c r="J17" s="5" t="n">
        <v>13.36764318781561</v>
      </c>
      <c r="K17" s="5">
        <f>J17*C17</f>
        <v/>
      </c>
      <c r="L17" s="5" t="n">
        <v>10.5733747515328</v>
      </c>
      <c r="M17" s="5">
        <f>L17*C17</f>
        <v/>
      </c>
      <c r="N17" s="2" t="n">
        <v>0</v>
      </c>
      <c r="O17" s="2" t="n">
        <v>0</v>
      </c>
      <c r="P17" s="3" t="inlineStr">
        <is>
          <t>D2.5 x2, D3.6 x4, D5.5 x4</t>
        </is>
      </c>
      <c r="Q17" s="5" t="n">
        <v>2.961810738881552</v>
      </c>
      <c r="R17" s="6" t="n">
        <v>0.1684613911519235</v>
      </c>
      <c r="S17" s="6">
        <f>R17*C17</f>
        <v/>
      </c>
      <c r="T17" s="2" t="inlineStr">
        <is>
          <t>통과</t>
        </is>
      </c>
      <c r="U17" s="2" t="inlineStr">
        <is>
          <t>통과</t>
        </is>
      </c>
      <c r="V17" s="6" t="n">
        <v>0.228284</v>
      </c>
      <c r="W17" s="8" t="n">
        <v>4564</v>
      </c>
    </row>
    <row r="18">
      <c r="A18" s="2" t="n">
        <v>17</v>
      </c>
      <c r="B18" s="3" t="inlineStr">
        <is>
          <t>head_yaw_to_roll.stl</t>
        </is>
      </c>
      <c r="C18" s="2" t="n">
        <v>1</v>
      </c>
      <c r="D18" s="2" t="inlineStr">
        <is>
          <t>PLA</t>
        </is>
      </c>
      <c r="E18" s="4" t="n">
        <v>0.15</v>
      </c>
      <c r="F18" s="5" t="n">
        <v>87.95000076293945</v>
      </c>
      <c r="G18" s="5" t="n">
        <v>79.95909881591797</v>
      </c>
      <c r="H18" s="5" t="n">
        <v>42.20000457763672</v>
      </c>
      <c r="I18" s="5" t="n">
        <v>42.20000457763672</v>
      </c>
      <c r="J18" s="5" t="n">
        <v>29.42181921168818</v>
      </c>
      <c r="K18" s="5">
        <f>J18*C18</f>
        <v/>
      </c>
      <c r="L18" s="5" t="n">
        <v>16.91905251263627</v>
      </c>
      <c r="M18" s="5">
        <f>L18*C18</f>
        <v/>
      </c>
      <c r="N18" s="2" t="n">
        <v>2</v>
      </c>
      <c r="O18" s="2" t="n">
        <v>2</v>
      </c>
      <c r="P18" s="3" t="inlineStr">
        <is>
          <t>D2.5 x2, D4.0 x2, D17.8 x1, D19.8 x2, D22.0 x1, D23.9 x1</t>
        </is>
      </c>
      <c r="Q18" s="5" t="n">
        <v>4.605563456004615</v>
      </c>
      <c r="R18" s="6" t="n">
        <v>0.2819795775483314</v>
      </c>
      <c r="S18" s="6">
        <f>R18*C18</f>
        <v/>
      </c>
      <c r="T18" s="2" t="inlineStr">
        <is>
          <t>통과</t>
        </is>
      </c>
      <c r="U18" s="2" t="inlineStr">
        <is>
          <t>통과</t>
        </is>
      </c>
      <c r="V18" s="6" t="n">
        <v>0.281884</v>
      </c>
      <c r="W18" s="8" t="n">
        <v>5636</v>
      </c>
    </row>
    <row r="19">
      <c r="A19" s="2" t="n">
        <v>18</v>
      </c>
      <c r="B19" s="3" t="inlineStr">
        <is>
          <t>knee_to_ankle_left_sheet.stl</t>
        </is>
      </c>
      <c r="C19" s="2" t="n">
        <v>4</v>
      </c>
      <c r="D19" s="2" t="inlineStr">
        <is>
          <t>PLA</t>
        </is>
      </c>
      <c r="E19" s="4" t="n">
        <v>0.15</v>
      </c>
      <c r="F19" s="5" t="n">
        <v>30.70000177621841</v>
      </c>
      <c r="G19" s="5" t="n">
        <v>8.449996948242188</v>
      </c>
      <c r="H19" s="5" t="n">
        <v>70.63426208496094</v>
      </c>
      <c r="I19" s="5" t="n">
        <v>8.449996948242188</v>
      </c>
      <c r="J19" s="5" t="n">
        <v>8.26046949606997</v>
      </c>
      <c r="K19" s="5">
        <f>J19*C19</f>
        <v/>
      </c>
      <c r="L19" s="5" t="n">
        <v>6.273563003816597</v>
      </c>
      <c r="M19" s="5">
        <f>L19*C19</f>
        <v/>
      </c>
      <c r="N19" s="2" t="n">
        <v>0</v>
      </c>
      <c r="O19" s="2" t="n">
        <v>0</v>
      </c>
      <c r="P19" s="3" t="inlineStr">
        <is>
          <t>D2.5 x2, D3.2 x2, D5.0 x2, D6.5 x2</t>
        </is>
      </c>
      <c r="Q19" s="5" t="n">
        <v>3.124498165246567</v>
      </c>
      <c r="R19" s="6" t="n">
        <v>0.09952453709403521</v>
      </c>
      <c r="S19" s="6">
        <f>R19*C19</f>
        <v/>
      </c>
      <c r="T19" s="7" t="inlineStr">
        <is>
          <t>미달</t>
        </is>
      </c>
      <c r="U19" s="7" t="inlineStr">
        <is>
          <t>미달</t>
        </is>
      </c>
      <c r="V19" s="6" t="n">
        <v>0.227284</v>
      </c>
      <c r="W19" s="8" t="n">
        <v>4544</v>
      </c>
    </row>
    <row r="20">
      <c r="A20" s="2" t="n">
        <v>19</v>
      </c>
      <c r="B20" s="3" t="inlineStr">
        <is>
          <t>knee_to_ankle_right_sheet.stl</t>
        </is>
      </c>
      <c r="C20" s="2" t="n">
        <v>4</v>
      </c>
      <c r="D20" s="2" t="inlineStr">
        <is>
          <t>PLA</t>
        </is>
      </c>
      <c r="E20" s="4" t="n">
        <v>0.15</v>
      </c>
      <c r="F20" s="5" t="n">
        <v>30.70000177621841</v>
      </c>
      <c r="G20" s="5" t="n">
        <v>7.200004577636719</v>
      </c>
      <c r="H20" s="5" t="n">
        <v>70.63426208496094</v>
      </c>
      <c r="I20" s="5" t="n">
        <v>7.200004577636719</v>
      </c>
      <c r="J20" s="5" t="n">
        <v>6.541794997265083</v>
      </c>
      <c r="K20" s="5">
        <f>J20*C20</f>
        <v/>
      </c>
      <c r="L20" s="5" t="n">
        <v>5.883431315667116</v>
      </c>
      <c r="M20" s="5">
        <f>L20*C20</f>
        <v/>
      </c>
      <c r="N20" s="2" t="n">
        <v>0</v>
      </c>
      <c r="O20" s="2" t="n">
        <v>0</v>
      </c>
      <c r="P20" s="3" t="inlineStr">
        <is>
          <t>D3.2 x2, D5.0 x2, D6.5 x2</t>
        </is>
      </c>
      <c r="Q20" s="5" t="n">
        <v>2.511773879118784</v>
      </c>
      <c r="R20" s="6" t="n">
        <v>0.09286486433194618</v>
      </c>
      <c r="S20" s="6">
        <f>R20*C20</f>
        <v/>
      </c>
      <c r="T20" s="7" t="inlineStr">
        <is>
          <t>미달</t>
        </is>
      </c>
      <c r="U20" s="7" t="inlineStr">
        <is>
          <t>미달</t>
        </is>
      </c>
      <c r="V20" s="6" t="n">
        <v>0.232284</v>
      </c>
      <c r="W20" s="8" t="n">
        <v>4644</v>
      </c>
    </row>
    <row r="21">
      <c r="A21" s="2" t="n">
        <v>20</v>
      </c>
      <c r="B21" s="3" t="inlineStr">
        <is>
          <t>left_antenna_holder.stl</t>
        </is>
      </c>
      <c r="C21" s="2" t="n">
        <v>1</v>
      </c>
      <c r="D21" s="2" t="inlineStr">
        <is>
          <t>PLA</t>
        </is>
      </c>
      <c r="E21" s="4" t="n">
        <v>0.15</v>
      </c>
      <c r="F21" s="5" t="n">
        <v>26.90030670166016</v>
      </c>
      <c r="G21" s="5" t="n">
        <v>20.0079345703125</v>
      </c>
      <c r="H21" s="5" t="n">
        <v>41.70466613769531</v>
      </c>
      <c r="I21" s="5" t="n">
        <v>20.0079345703125</v>
      </c>
      <c r="J21" s="5" t="n">
        <v>2.934129960939523</v>
      </c>
      <c r="K21" s="5">
        <f>J21*C21</f>
        <v/>
      </c>
      <c r="L21" s="5" t="n">
        <v>3.416506104349935</v>
      </c>
      <c r="M21" s="5">
        <f>L21*C21</f>
        <v/>
      </c>
      <c r="N21" s="2" t="n">
        <v>0</v>
      </c>
      <c r="O21" s="2" t="n">
        <v>0</v>
      </c>
      <c r="P21" s="3" t="inlineStr">
        <is>
          <t>-</t>
        </is>
      </c>
      <c r="Q21" s="5" t="n">
        <v>1.831354014949447</v>
      </c>
      <c r="R21" s="6" t="n">
        <v>0.06491197885827263</v>
      </c>
      <c r="S21" s="6">
        <f>R21*C21</f>
        <v/>
      </c>
      <c r="T21" s="7" t="inlineStr">
        <is>
          <t>미달</t>
        </is>
      </c>
      <c r="U21" s="7" t="inlineStr">
        <is>
          <t>미달</t>
        </is>
      </c>
      <c r="V21" s="6" t="n">
        <v>0.072184</v>
      </c>
      <c r="W21" s="8" t="n">
        <v>1442</v>
      </c>
    </row>
    <row r="22">
      <c r="A22" s="2" t="n">
        <v>21</v>
      </c>
      <c r="B22" s="3" t="inlineStr">
        <is>
          <t>left_cache.stl</t>
        </is>
      </c>
      <c r="C22" s="2" t="n">
        <v>1</v>
      </c>
      <c r="D22" s="2" t="inlineStr">
        <is>
          <t>PLA</t>
        </is>
      </c>
      <c r="E22" s="4" t="n">
        <v>0.15</v>
      </c>
      <c r="F22" s="5" t="n">
        <v>89.96508407592773</v>
      </c>
      <c r="G22" s="5" t="n">
        <v>40</v>
      </c>
      <c r="H22" s="5" t="n">
        <v>152.6147003173828</v>
      </c>
      <c r="I22" s="5" t="n">
        <v>40</v>
      </c>
      <c r="J22" s="5" t="n">
        <v>64.60903532705305</v>
      </c>
      <c r="K22" s="5">
        <f>J22*C22</f>
        <v/>
      </c>
      <c r="L22" s="5" t="n">
        <v>49.64742062236573</v>
      </c>
      <c r="M22" s="5">
        <f>L22*C22</f>
        <v/>
      </c>
      <c r="N22" s="2" t="n">
        <v>0</v>
      </c>
      <c r="O22" s="2" t="n">
        <v>0</v>
      </c>
      <c r="P22" s="3" t="inlineStr">
        <is>
          <t>D3.5 x2, D6.5 x2, D8.0 x2, D14.0 x2</t>
        </is>
      </c>
      <c r="Q22" s="5" t="n">
        <v>3.076429408460169</v>
      </c>
      <c r="R22" s="6" t="n">
        <v>0.7692267118035503</v>
      </c>
      <c r="S22" s="6">
        <f>R22*C22</f>
        <v/>
      </c>
      <c r="T22" s="2" t="inlineStr">
        <is>
          <t>통과</t>
        </is>
      </c>
      <c r="U22" s="2" t="inlineStr">
        <is>
          <t>통과</t>
        </is>
      </c>
      <c r="V22" s="6" t="n">
        <v>0.08698400000000001</v>
      </c>
      <c r="W22" s="8" t="n">
        <v>1738</v>
      </c>
    </row>
    <row r="23">
      <c r="A23" s="2" t="n">
        <v>22</v>
      </c>
      <c r="B23" s="3" t="inlineStr">
        <is>
          <t>left_eye.stl</t>
        </is>
      </c>
      <c r="C23" s="2" t="n">
        <v>1</v>
      </c>
      <c r="D23" s="2" t="inlineStr">
        <is>
          <t>PLA</t>
        </is>
      </c>
      <c r="E23" s="4" t="n">
        <v>0.15</v>
      </c>
      <c r="F23" s="5" t="n">
        <v>4.300003051757812</v>
      </c>
      <c r="G23" s="5" t="n">
        <v>35</v>
      </c>
      <c r="H23" s="5" t="n">
        <v>35.00000762939453</v>
      </c>
      <c r="I23" s="5" t="n">
        <v>4.300003051757812</v>
      </c>
      <c r="J23" s="5" t="n">
        <v>1.427560107581235</v>
      </c>
      <c r="K23" s="5">
        <f>J23*C23</f>
        <v/>
      </c>
      <c r="L23" s="5" t="n">
        <v>1.770174533400731</v>
      </c>
      <c r="M23" s="5">
        <f>L23*C23</f>
        <v/>
      </c>
      <c r="N23" s="2" t="n">
        <v>0</v>
      </c>
      <c r="O23" s="2" t="n">
        <v>0</v>
      </c>
      <c r="P23" s="3" t="inlineStr">
        <is>
          <t>-</t>
        </is>
      </c>
      <c r="Q23" s="5" t="n">
        <v>1.447913667444795</v>
      </c>
      <c r="R23" s="6" t="n">
        <v>0.02949185384409694</v>
      </c>
      <c r="S23" s="6">
        <f>R23*C23</f>
        <v/>
      </c>
      <c r="T23" s="7" t="inlineStr">
        <is>
          <t>미달</t>
        </is>
      </c>
      <c r="U23" s="7" t="inlineStr">
        <is>
          <t>미달</t>
        </is>
      </c>
      <c r="V23" s="6" t="n">
        <v>0.106084</v>
      </c>
      <c r="W23" s="8" t="n">
        <v>2120</v>
      </c>
    </row>
    <row r="24">
      <c r="A24" s="2" t="n">
        <v>23</v>
      </c>
      <c r="B24" s="3" t="inlineStr">
        <is>
          <t>left_roll_to_pitch.stl</t>
        </is>
      </c>
      <c r="C24" s="2" t="n">
        <v>1</v>
      </c>
      <c r="D24" s="2" t="inlineStr">
        <is>
          <t>PLA</t>
        </is>
      </c>
      <c r="E24" s="4" t="n">
        <v>0.15</v>
      </c>
      <c r="F24" s="5" t="n">
        <v>46.89999771118164</v>
      </c>
      <c r="G24" s="5" t="n">
        <v>86.05981636047363</v>
      </c>
      <c r="H24" s="5" t="n">
        <v>30.72000122070312</v>
      </c>
      <c r="I24" s="5" t="n">
        <v>30.72000122070312</v>
      </c>
      <c r="J24" s="5" t="n">
        <v>29.63527216890339</v>
      </c>
      <c r="K24" s="5">
        <f>J24*C24</f>
        <v/>
      </c>
      <c r="L24" s="5" t="n">
        <v>19.34443015088674</v>
      </c>
      <c r="M24" s="5">
        <f>L24*C24</f>
        <v/>
      </c>
      <c r="N24" s="2" t="n">
        <v>2</v>
      </c>
      <c r="O24" s="2" t="n">
        <v>0</v>
      </c>
      <c r="P24" s="3" t="inlineStr">
        <is>
          <t>D2.5 x1, D4.0 x2</t>
        </is>
      </c>
      <c r="Q24" s="5" t="n">
        <v>3.838884180703986</v>
      </c>
      <c r="R24" s="6" t="n">
        <v>0.3102842017754889</v>
      </c>
      <c r="S24" s="6">
        <f>R24*C24</f>
        <v/>
      </c>
      <c r="T24" s="2" t="inlineStr">
        <is>
          <t>통과</t>
        </is>
      </c>
      <c r="U24" s="2" t="inlineStr">
        <is>
          <t>통과</t>
        </is>
      </c>
      <c r="V24" s="6" t="n">
        <v>0.398884</v>
      </c>
      <c r="W24" s="8" t="n">
        <v>7976</v>
      </c>
    </row>
    <row r="25">
      <c r="A25" s="2" t="n">
        <v>24</v>
      </c>
      <c r="B25" s="3" t="inlineStr">
        <is>
          <t>leg_spacer.stl</t>
        </is>
      </c>
      <c r="C25" s="2" t="n">
        <v>4</v>
      </c>
      <c r="D25" s="2" t="inlineStr">
        <is>
          <t>PLA</t>
        </is>
      </c>
      <c r="E25" s="4" t="n">
        <v>0.15</v>
      </c>
      <c r="F25" s="5" t="n">
        <v>28.07119941711426</v>
      </c>
      <c r="G25" s="5" t="n">
        <v>36.89999389648438</v>
      </c>
      <c r="H25" s="5" t="n">
        <v>9.9970703125</v>
      </c>
      <c r="I25" s="5" t="n">
        <v>9.9970703125</v>
      </c>
      <c r="J25" s="5" t="n">
        <v>7.050666451800913</v>
      </c>
      <c r="K25" s="5">
        <f>J25*C25</f>
        <v/>
      </c>
      <c r="L25" s="5" t="n">
        <v>4.701951143962765</v>
      </c>
      <c r="M25" s="5">
        <f>L25*C25</f>
        <v/>
      </c>
      <c r="N25" s="2" t="n">
        <v>4</v>
      </c>
      <c r="O25" s="2" t="n">
        <v>0</v>
      </c>
      <c r="P25" s="3" t="inlineStr">
        <is>
          <t>D4.0 x4</t>
        </is>
      </c>
      <c r="Q25" s="5" t="n">
        <v>3.726082542037486</v>
      </c>
      <c r="R25" s="6" t="n">
        <v>0.07716474229335073</v>
      </c>
      <c r="S25" s="6">
        <f>R25*C25</f>
        <v/>
      </c>
      <c r="T25" s="7" t="inlineStr">
        <is>
          <t>미달</t>
        </is>
      </c>
      <c r="U25" s="7" t="inlineStr">
        <is>
          <t>미달</t>
        </is>
      </c>
      <c r="V25" s="6" t="n">
        <v>0.114684</v>
      </c>
      <c r="W25" s="8" t="n">
        <v>2292</v>
      </c>
    </row>
    <row r="26">
      <c r="A26" s="2" t="n">
        <v>25</v>
      </c>
      <c r="B26" s="3" t="inlineStr">
        <is>
          <t>neck_left_sheet.stl</t>
        </is>
      </c>
      <c r="C26" s="2" t="n">
        <v>1</v>
      </c>
      <c r="D26" s="2" t="inlineStr">
        <is>
          <t>PLA</t>
        </is>
      </c>
      <c r="E26" s="4" t="n">
        <v>0.15</v>
      </c>
      <c r="F26" s="5" t="n">
        <v>30.72000074386597</v>
      </c>
      <c r="G26" s="5" t="n">
        <v>7.05000114440918</v>
      </c>
      <c r="H26" s="5" t="n">
        <v>57.98449230194092</v>
      </c>
      <c r="I26" s="5" t="n">
        <v>7.05000114440918</v>
      </c>
      <c r="J26" s="5" t="n">
        <v>8.060070261125249</v>
      </c>
      <c r="K26" s="5">
        <f>J26*C26</f>
        <v/>
      </c>
      <c r="L26" s="5" t="n">
        <v>5.354296337767098</v>
      </c>
      <c r="M26" s="5">
        <f>L26*C26</f>
        <v/>
      </c>
      <c r="N26" s="2" t="n">
        <v>0</v>
      </c>
      <c r="O26" s="2" t="n">
        <v>0</v>
      </c>
      <c r="P26" s="3" t="inlineStr">
        <is>
          <t>D2.5 x2, D5.0 x2</t>
        </is>
      </c>
      <c r="Q26" s="5" t="n">
        <v>3.746192504212559</v>
      </c>
      <c r="R26" s="6" t="n">
        <v>0.08482372069544651</v>
      </c>
      <c r="S26" s="6">
        <f>R26*C26</f>
        <v/>
      </c>
      <c r="T26" s="7" t="inlineStr">
        <is>
          <t>미달</t>
        </is>
      </c>
      <c r="U26" s="7" t="inlineStr">
        <is>
          <t>미달</t>
        </is>
      </c>
      <c r="V26" s="6" t="n">
        <v>0.171484</v>
      </c>
      <c r="W26" s="8" t="n">
        <v>3428</v>
      </c>
    </row>
    <row r="27">
      <c r="A27" s="2" t="n">
        <v>26</v>
      </c>
      <c r="B27" s="3" t="inlineStr">
        <is>
          <t>neck_right_sheet.stl</t>
        </is>
      </c>
      <c r="C27" s="2" t="n">
        <v>1</v>
      </c>
      <c r="D27" s="2" t="inlineStr">
        <is>
          <t>PLA</t>
        </is>
      </c>
      <c r="E27" s="4" t="n">
        <v>0.15</v>
      </c>
      <c r="F27" s="5" t="n">
        <v>30.72000074386597</v>
      </c>
      <c r="G27" s="5" t="n">
        <v>5.849998474121094</v>
      </c>
      <c r="H27" s="5" t="n">
        <v>57.98449230194092</v>
      </c>
      <c r="I27" s="5" t="n">
        <v>5.849998474121094</v>
      </c>
      <c r="J27" s="5" t="n">
        <v>6.161823874015157</v>
      </c>
      <c r="K27" s="5">
        <f>J27*C27</f>
        <v/>
      </c>
      <c r="L27" s="5" t="n">
        <v>4.940248118692391</v>
      </c>
      <c r="M27" s="5">
        <f>L27*C27</f>
        <v/>
      </c>
      <c r="N27" s="2" t="n">
        <v>0</v>
      </c>
      <c r="O27" s="2" t="n">
        <v>0</v>
      </c>
      <c r="P27" s="3" t="inlineStr">
        <is>
          <t>D5.0 x2</t>
        </is>
      </c>
      <c r="Q27" s="5" t="n">
        <v>2.909942749245738</v>
      </c>
      <c r="R27" s="6" t="n">
        <v>0.07780687154558528</v>
      </c>
      <c r="S27" s="6">
        <f>R27*C27</f>
        <v/>
      </c>
      <c r="T27" s="7" t="inlineStr">
        <is>
          <t>미달</t>
        </is>
      </c>
      <c r="U27" s="7" t="inlineStr">
        <is>
          <t>미달</t>
        </is>
      </c>
      <c r="V27" s="6" t="n">
        <v>0.175084</v>
      </c>
      <c r="W27" s="8" t="n">
        <v>3500</v>
      </c>
    </row>
    <row r="28">
      <c r="A28" s="2" t="n">
        <v>27</v>
      </c>
      <c r="B28" s="3" t="inlineStr">
        <is>
          <t>right_antenna_holder.stl</t>
        </is>
      </c>
      <c r="C28" s="2" t="n">
        <v>1</v>
      </c>
      <c r="D28" s="2" t="inlineStr">
        <is>
          <t>PLA</t>
        </is>
      </c>
      <c r="E28" s="4" t="n">
        <v>0.15</v>
      </c>
      <c r="F28" s="5" t="n">
        <v>26.90030670166016</v>
      </c>
      <c r="G28" s="5" t="n">
        <v>20.0079345703125</v>
      </c>
      <c r="H28" s="5" t="n">
        <v>41.70466613769531</v>
      </c>
      <c r="I28" s="5" t="n">
        <v>20.0079345703125</v>
      </c>
      <c r="J28" s="5" t="n">
        <v>2.934132333790668</v>
      </c>
      <c r="K28" s="5">
        <f>J28*C28</f>
        <v/>
      </c>
      <c r="L28" s="5" t="n">
        <v>3.416506598312477</v>
      </c>
      <c r="M28" s="5">
        <f>L28*C28</f>
        <v/>
      </c>
      <c r="N28" s="2" t="n">
        <v>0</v>
      </c>
      <c r="O28" s="2" t="n">
        <v>0</v>
      </c>
      <c r="P28" s="3" t="inlineStr">
        <is>
          <t>-</t>
        </is>
      </c>
      <c r="Q28" s="5" t="n">
        <v>1.83135546241492</v>
      </c>
      <c r="R28" s="6" t="n">
        <v>0.06491198623525204</v>
      </c>
      <c r="S28" s="6">
        <f>R28*C28</f>
        <v/>
      </c>
      <c r="T28" s="7" t="inlineStr">
        <is>
          <t>미달</t>
        </is>
      </c>
      <c r="U28" s="7" t="inlineStr">
        <is>
          <t>미달</t>
        </is>
      </c>
      <c r="V28" s="6" t="n">
        <v>0.072084</v>
      </c>
      <c r="W28" s="8" t="n">
        <v>1440</v>
      </c>
    </row>
    <row r="29">
      <c r="A29" s="2" t="n">
        <v>28</v>
      </c>
      <c r="B29" s="3" t="inlineStr">
        <is>
          <t>right_cache.stl</t>
        </is>
      </c>
      <c r="C29" s="2" t="n">
        <v>1</v>
      </c>
      <c r="D29" s="2" t="inlineStr">
        <is>
          <t>PLA</t>
        </is>
      </c>
      <c r="E29" s="4" t="n">
        <v>0.15</v>
      </c>
      <c r="F29" s="5" t="n">
        <v>89.96508407592773</v>
      </c>
      <c r="G29" s="5" t="n">
        <v>40</v>
      </c>
      <c r="H29" s="5" t="n">
        <v>152.6147003173828</v>
      </c>
      <c r="I29" s="5" t="n">
        <v>40</v>
      </c>
      <c r="J29" s="5" t="n">
        <v>64.60903530287516</v>
      </c>
      <c r="K29" s="5">
        <f>J29*C29</f>
        <v/>
      </c>
      <c r="L29" s="5" t="n">
        <v>49.64742061786876</v>
      </c>
      <c r="M29" s="5">
        <f>L29*C29</f>
        <v/>
      </c>
      <c r="N29" s="2" t="n">
        <v>0</v>
      </c>
      <c r="O29" s="2" t="n">
        <v>0</v>
      </c>
      <c r="P29" s="3" t="inlineStr">
        <is>
          <t>D3.5 x2, D6.5 x2, D8.0 x2, D14.0 x2</t>
        </is>
      </c>
      <c r="Q29" s="5" t="n">
        <v>3.076429407308904</v>
      </c>
      <c r="R29" s="6" t="n">
        <v>0.7692267117363912</v>
      </c>
      <c r="S29" s="6">
        <f>R29*C29</f>
        <v/>
      </c>
      <c r="T29" s="2" t="inlineStr">
        <is>
          <t>통과</t>
        </is>
      </c>
      <c r="U29" s="2" t="inlineStr">
        <is>
          <t>통과</t>
        </is>
      </c>
      <c r="V29" s="6" t="n">
        <v>0.08698400000000001</v>
      </c>
      <c r="W29" s="8" t="n">
        <v>1738</v>
      </c>
    </row>
    <row r="30">
      <c r="A30" s="2" t="n">
        <v>29</v>
      </c>
      <c r="B30" s="3" t="inlineStr">
        <is>
          <t>right_eye.stl</t>
        </is>
      </c>
      <c r="C30" s="2" t="n">
        <v>1</v>
      </c>
      <c r="D30" s="2" t="inlineStr">
        <is>
          <t>PLA</t>
        </is>
      </c>
      <c r="E30" s="4" t="n">
        <v>0.15</v>
      </c>
      <c r="F30" s="5" t="n">
        <v>8.399993896484375</v>
      </c>
      <c r="G30" s="5" t="n">
        <v>40</v>
      </c>
      <c r="H30" s="5" t="n">
        <v>40</v>
      </c>
      <c r="I30" s="5" t="n">
        <v>8.399993896484375</v>
      </c>
      <c r="J30" s="5" t="n">
        <v>4.628787066685665</v>
      </c>
      <c r="K30" s="5">
        <f>J30*C30</f>
        <v/>
      </c>
      <c r="L30" s="5" t="n">
        <v>4.043820734137471</v>
      </c>
      <c r="M30" s="5">
        <f>L30*C30</f>
        <v/>
      </c>
      <c r="N30" s="2" t="n">
        <v>0</v>
      </c>
      <c r="O30" s="2" t="n">
        <v>0</v>
      </c>
      <c r="P30" s="3" t="inlineStr">
        <is>
          <t>D2.0 x4</t>
        </is>
      </c>
      <c r="Q30" s="5" t="n">
        <v>2.605783523658953</v>
      </c>
      <c r="R30" s="6" t="n">
        <v>0.06622492135808648</v>
      </c>
      <c r="S30" s="6">
        <f>R30*C30</f>
        <v/>
      </c>
      <c r="T30" s="7" t="inlineStr">
        <is>
          <t>미달</t>
        </is>
      </c>
      <c r="U30" s="7" t="inlineStr">
        <is>
          <t>미달</t>
        </is>
      </c>
      <c r="V30" s="6" t="n">
        <v>0.114684</v>
      </c>
      <c r="W30" s="8" t="n">
        <v>2292</v>
      </c>
    </row>
    <row r="31">
      <c r="A31" s="2" t="n">
        <v>30</v>
      </c>
      <c r="B31" s="3" t="inlineStr">
        <is>
          <t>right_roll_to_pitch.stl</t>
        </is>
      </c>
      <c r="C31" s="2" t="n">
        <v>1</v>
      </c>
      <c r="D31" s="2" t="inlineStr">
        <is>
          <t>PLA</t>
        </is>
      </c>
      <c r="E31" s="4" t="n">
        <v>0.15</v>
      </c>
      <c r="F31" s="5" t="n">
        <v>46.89999771118164</v>
      </c>
      <c r="G31" s="5" t="n">
        <v>86.05981636047363</v>
      </c>
      <c r="H31" s="5" t="n">
        <v>30.72000122070312</v>
      </c>
      <c r="I31" s="5" t="n">
        <v>30.72000122070312</v>
      </c>
      <c r="J31" s="5" t="n">
        <v>29.63526626458238</v>
      </c>
      <c r="K31" s="5">
        <f>J31*C31</f>
        <v/>
      </c>
      <c r="L31" s="5" t="n">
        <v>19.34442903513823</v>
      </c>
      <c r="M31" s="5">
        <f>L31*C31</f>
        <v/>
      </c>
      <c r="N31" s="2" t="n">
        <v>2</v>
      </c>
      <c r="O31" s="2" t="n">
        <v>0</v>
      </c>
      <c r="P31" s="3" t="inlineStr">
        <is>
          <t>D2.5 x1, D4.0 x2</t>
        </is>
      </c>
      <c r="Q31" s="5" t="n">
        <v>3.838883420741208</v>
      </c>
      <c r="R31" s="6" t="n">
        <v>0.3102841851125782</v>
      </c>
      <c r="S31" s="6">
        <f>R31*C31</f>
        <v/>
      </c>
      <c r="T31" s="2" t="inlineStr">
        <is>
          <t>통과</t>
        </is>
      </c>
      <c r="U31" s="2" t="inlineStr">
        <is>
          <t>통과</t>
        </is>
      </c>
      <c r="V31" s="6" t="n">
        <v>0.398884</v>
      </c>
      <c r="W31" s="8" t="n">
        <v>7976</v>
      </c>
    </row>
    <row r="32">
      <c r="A32" s="2" t="n">
        <v>31</v>
      </c>
      <c r="B32" s="3" t="inlineStr">
        <is>
          <t>roll_motor_bottom.stl</t>
        </is>
      </c>
      <c r="C32" s="2" t="n">
        <v>2</v>
      </c>
      <c r="D32" s="2" t="inlineStr">
        <is>
          <t>PLA</t>
        </is>
      </c>
      <c r="E32" s="4" t="n">
        <v>0.15</v>
      </c>
      <c r="F32" s="5" t="n">
        <v>32</v>
      </c>
      <c r="G32" s="5" t="n">
        <v>30.73950958251953</v>
      </c>
      <c r="H32" s="5" t="n">
        <v>31.41000366210938</v>
      </c>
      <c r="I32" s="5" t="n">
        <v>30.73950958251953</v>
      </c>
      <c r="J32" s="5" t="n">
        <v>8.494998218543703</v>
      </c>
      <c r="K32" s="5">
        <f>J32*C32</f>
        <v/>
      </c>
      <c r="L32" s="5" t="n">
        <v>6.461980998563254</v>
      </c>
      <c r="M32" s="5">
        <f>L32*C32</f>
        <v/>
      </c>
      <c r="N32" s="2" t="n">
        <v>0</v>
      </c>
      <c r="O32" s="2" t="n">
        <v>2</v>
      </c>
      <c r="P32" s="3" t="inlineStr">
        <is>
          <t>D19.9 x2</t>
        </is>
      </c>
      <c r="Q32" s="5" t="n">
        <v>3.117905422558005</v>
      </c>
      <c r="R32" s="6" t="n">
        <v>0.1178939814600247</v>
      </c>
      <c r="S32" s="6">
        <f>R32*C32</f>
        <v/>
      </c>
      <c r="T32" s="2" t="inlineStr">
        <is>
          <t>통과</t>
        </is>
      </c>
      <c r="U32" s="2" t="inlineStr">
        <is>
          <t>통과</t>
        </is>
      </c>
      <c r="V32" s="6" t="n">
        <v>0.06808400000000001</v>
      </c>
      <c r="W32" s="8" t="n">
        <v>1360</v>
      </c>
    </row>
    <row r="33">
      <c r="A33" s="2" t="n">
        <v>32</v>
      </c>
      <c r="B33" s="3" t="inlineStr">
        <is>
          <t>roll_motor_top.stl</t>
        </is>
      </c>
      <c r="C33" s="2" t="n">
        <v>2</v>
      </c>
      <c r="D33" s="2" t="inlineStr">
        <is>
          <t>PLA</t>
        </is>
      </c>
      <c r="E33" s="4" t="n">
        <v>0.15</v>
      </c>
      <c r="F33" s="5" t="n">
        <v>38</v>
      </c>
      <c r="G33" s="5" t="n">
        <v>28.71999931335449</v>
      </c>
      <c r="H33" s="5" t="n">
        <v>20.0149974822998</v>
      </c>
      <c r="I33" s="5" t="n">
        <v>20.0149974822998</v>
      </c>
      <c r="J33" s="5" t="n">
        <v>9.175463798201479</v>
      </c>
      <c r="K33" s="5">
        <f>J33*C33</f>
        <v/>
      </c>
      <c r="L33" s="5" t="n">
        <v>6.458141019768519</v>
      </c>
      <c r="M33" s="5">
        <f>L33*C33</f>
        <v/>
      </c>
      <c r="N33" s="2" t="n">
        <v>0</v>
      </c>
      <c r="O33" s="2" t="n">
        <v>0</v>
      </c>
      <c r="P33" s="3" t="inlineStr">
        <is>
          <t>D2.5 x2</t>
        </is>
      </c>
      <c r="Q33" s="5" t="n">
        <v>3.460081992381173</v>
      </c>
      <c r="R33" s="6" t="n">
        <v>0.1103366341064593</v>
      </c>
      <c r="S33" s="6">
        <f>R33*C33</f>
        <v/>
      </c>
      <c r="T33" s="7" t="inlineStr">
        <is>
          <t>미달</t>
        </is>
      </c>
      <c r="U33" s="7" t="inlineStr">
        <is>
          <t>미달</t>
        </is>
      </c>
      <c r="V33" s="6" t="n">
        <v>0.183784</v>
      </c>
      <c r="W33" s="8" t="n">
        <v>3674</v>
      </c>
    </row>
    <row r="34">
      <c r="A34" s="2" t="n">
        <v>33</v>
      </c>
      <c r="B34" s="3" t="inlineStr">
        <is>
          <t>speaker_interface.stl</t>
        </is>
      </c>
      <c r="C34" s="2" t="n">
        <v>1</v>
      </c>
      <c r="D34" s="2" t="inlineStr">
        <is>
          <t>PLA</t>
        </is>
      </c>
      <c r="E34" s="4" t="n">
        <v>0.15</v>
      </c>
      <c r="F34" s="5" t="n">
        <v>38.64472961425781</v>
      </c>
      <c r="G34" s="5" t="n">
        <v>20.83897018432617</v>
      </c>
      <c r="H34" s="5" t="n">
        <v>36.89027404785156</v>
      </c>
      <c r="I34" s="5" t="n">
        <v>20.83897018432617</v>
      </c>
      <c r="J34" s="5" t="n">
        <v>1.803868339300498</v>
      </c>
      <c r="K34" s="5">
        <f>J34*C34</f>
        <v/>
      </c>
      <c r="L34" s="5" t="n">
        <v>2.236796740732617</v>
      </c>
      <c r="M34" s="5">
        <f>L34*C34</f>
        <v/>
      </c>
      <c r="N34" s="2" t="n">
        <v>0</v>
      </c>
      <c r="O34" s="2" t="n">
        <v>0</v>
      </c>
      <c r="P34" s="3" t="inlineStr">
        <is>
          <t>-</t>
        </is>
      </c>
      <c r="Q34" s="5" t="n">
        <v>1.26493853681157</v>
      </c>
      <c r="R34" s="6" t="n">
        <v>0.04784941369074995</v>
      </c>
      <c r="S34" s="6">
        <f>R34*C34</f>
        <v/>
      </c>
      <c r="T34" s="2" t="inlineStr">
        <is>
          <t>통과</t>
        </is>
      </c>
      <c r="U34" s="2" t="inlineStr">
        <is>
          <t>통과</t>
        </is>
      </c>
      <c r="V34" s="6" t="n">
        <v>0.115884</v>
      </c>
      <c r="W34" s="8" t="n">
        <v>2316</v>
      </c>
    </row>
    <row r="35">
      <c r="A35" s="2" t="n">
        <v>34</v>
      </c>
      <c r="B35" s="3" t="inlineStr">
        <is>
          <t>speaker_stand.stl</t>
        </is>
      </c>
      <c r="C35" s="2" t="n">
        <v>1</v>
      </c>
      <c r="D35" s="2" t="inlineStr">
        <is>
          <t>PLA</t>
        </is>
      </c>
      <c r="E35" s="4" t="n">
        <v>0.15</v>
      </c>
      <c r="F35" s="5" t="n">
        <v>51.38426971435547</v>
      </c>
      <c r="G35" s="5" t="n">
        <v>46.03933906555176</v>
      </c>
      <c r="H35" s="5" t="n">
        <v>47.37652587890625</v>
      </c>
      <c r="I35" s="5" t="n">
        <v>46.03933906555176</v>
      </c>
      <c r="J35" s="5" t="n">
        <v>6.986084959606199</v>
      </c>
      <c r="K35" s="5">
        <f>J35*C35</f>
        <v/>
      </c>
      <c r="L35" s="5" t="n">
        <v>7.508259929762072</v>
      </c>
      <c r="M35" s="5">
        <f>L35*C35</f>
        <v/>
      </c>
      <c r="N35" s="2" t="n">
        <v>14</v>
      </c>
      <c r="O35" s="2" t="n">
        <v>0</v>
      </c>
      <c r="P35" s="3" t="inlineStr">
        <is>
          <t>D2.0 x2, D2.7 x1, D4.0 x4, D4.1 x4, D4.3 x2, D4.4 x2, D4.6 x2, D4.8 x2, D5.0 x2, D5.2 x2, D5.5 x2, D5.8 x2, D6.1 x2, D6.4 x2</t>
        </is>
      </c>
      <c r="Q35" s="5" t="n">
        <v>2.016101340220029</v>
      </c>
      <c r="R35" s="6" t="n">
        <v>0.1440749690824682</v>
      </c>
      <c r="S35" s="6">
        <f>R35*C35</f>
        <v/>
      </c>
      <c r="T35" s="2" t="inlineStr">
        <is>
          <t>통과</t>
        </is>
      </c>
      <c r="U35" s="2" t="inlineStr">
        <is>
          <t>통과</t>
        </is>
      </c>
      <c r="V35" s="6" t="n">
        <v>1.069584</v>
      </c>
      <c r="W35" s="8" t="n">
        <v>21390</v>
      </c>
    </row>
    <row r="36">
      <c r="A36" s="2" t="n">
        <v>35</v>
      </c>
      <c r="B36" s="3" t="inlineStr">
        <is>
          <t>trunk_bottom.stl</t>
        </is>
      </c>
      <c r="C36" s="2" t="n">
        <v>1</v>
      </c>
      <c r="D36" s="2" t="inlineStr">
        <is>
          <t>PLA</t>
        </is>
      </c>
      <c r="E36" s="4" t="n">
        <v>0.15</v>
      </c>
      <c r="F36" s="5" t="n">
        <v>54.36000061035156</v>
      </c>
      <c r="G36" s="5" t="n">
        <v>107.9721374511719</v>
      </c>
      <c r="H36" s="5" t="n">
        <v>73.67500114440918</v>
      </c>
      <c r="I36" s="5" t="n">
        <v>54.36000061035156</v>
      </c>
      <c r="J36" s="5" t="n">
        <v>82.56237101793462</v>
      </c>
      <c r="K36" s="5">
        <f>J36*C36</f>
        <v/>
      </c>
      <c r="L36" s="5" t="n">
        <v>32.64994246640823</v>
      </c>
      <c r="M36" s="5">
        <f>L36*C36</f>
        <v/>
      </c>
      <c r="N36" s="2" t="n">
        <v>6</v>
      </c>
      <c r="O36" s="2" t="n">
        <v>0</v>
      </c>
      <c r="P36" s="3" t="inlineStr">
        <is>
          <t>D3.2 x6, D4.0 x6</t>
        </is>
      </c>
      <c r="Q36" s="5" t="n">
        <v>8.554463390268323</v>
      </c>
      <c r="R36" s="6" t="n">
        <v>0.5253814585783786</v>
      </c>
      <c r="S36" s="6">
        <f>R36*C36</f>
        <v/>
      </c>
      <c r="T36" s="2" t="inlineStr">
        <is>
          <t>통과</t>
        </is>
      </c>
      <c r="U36" s="2" t="inlineStr">
        <is>
          <t>통과</t>
        </is>
      </c>
      <c r="V36" s="6" t="n">
        <v>0.222384</v>
      </c>
      <c r="W36" s="8" t="n">
        <v>4446</v>
      </c>
    </row>
    <row r="37">
      <c r="A37" s="2" t="n">
        <v>36</v>
      </c>
      <c r="B37" s="3" t="inlineStr">
        <is>
          <t>trunk_top.stl</t>
        </is>
      </c>
      <c r="C37" s="2" t="n">
        <v>1</v>
      </c>
      <c r="D37" s="2" t="inlineStr">
        <is>
          <t>PLA</t>
        </is>
      </c>
      <c r="E37" s="4" t="n">
        <v>0.15</v>
      </c>
      <c r="F37" s="5" t="n">
        <v>125.4699935913086</v>
      </c>
      <c r="G37" s="5" t="n">
        <v>100.7200012207031</v>
      </c>
      <c r="H37" s="5" t="n">
        <v>40.99999809265137</v>
      </c>
      <c r="I37" s="5" t="n">
        <v>40.99999809265137</v>
      </c>
      <c r="J37" s="5" t="n">
        <v>144.6790210737889</v>
      </c>
      <c r="K37" s="5">
        <f>J37*C37</f>
        <v/>
      </c>
      <c r="L37" s="5" t="n">
        <v>59.3379143588032</v>
      </c>
      <c r="M37" s="5">
        <f>L37*C37</f>
        <v/>
      </c>
      <c r="N37" s="2" t="n">
        <v>4</v>
      </c>
      <c r="O37" s="2" t="n">
        <v>0</v>
      </c>
      <c r="P37" s="3" t="inlineStr">
        <is>
          <t>D2.0 x8, D2.5 x6, D3.2 x2, D4.0 x4, D5.0 x4, D6.5 x2, D7.0 x6</t>
        </is>
      </c>
      <c r="Q37" s="5" t="n">
        <v>7.99429308802389</v>
      </c>
      <c r="R37" s="6" t="n">
        <v>0.9146417914994505</v>
      </c>
      <c r="S37" s="6">
        <f>R37*C37</f>
        <v/>
      </c>
      <c r="T37" s="2" t="inlineStr">
        <is>
          <t>통과</t>
        </is>
      </c>
      <c r="U37" s="2" t="inlineStr">
        <is>
          <t>통과</t>
        </is>
      </c>
      <c r="V37" s="6" t="n">
        <v>0.723884</v>
      </c>
      <c r="W37" s="8" t="n">
        <v>14476</v>
      </c>
    </row>
    <row r="38">
      <c r="A38" s="16" t="n"/>
      <c r="B38" s="17" t="inlineStr">
        <is>
          <t>합계 (36종)</t>
        </is>
      </c>
      <c r="C38" s="16">
        <f>SUM(C2:C37)</f>
        <v/>
      </c>
      <c r="D38" s="16" t="n"/>
      <c r="E38" s="16" t="n"/>
      <c r="F38" s="16" t="n"/>
      <c r="G38" s="16" t="n"/>
      <c r="H38" s="16" t="n"/>
      <c r="I38" s="16" t="n"/>
      <c r="J38" s="16" t="n"/>
      <c r="K38" s="18">
        <f>SUM(K2:K37)</f>
        <v/>
      </c>
      <c r="L38" s="16" t="n"/>
      <c r="M38" s="18">
        <f>SUM(M2:M37)</f>
        <v/>
      </c>
      <c r="N38" s="16" t="n"/>
      <c r="O38" s="16" t="n"/>
      <c r="P38" s="16" t="n"/>
      <c r="Q38" s="16" t="n"/>
      <c r="R38" s="16" t="n"/>
      <c r="S38" s="19">
        <f>SUM(S2:S37)</f>
        <v/>
      </c>
      <c r="T38" s="16">
        <f>COUNTIF(T2:T37,"통과")</f>
        <v/>
      </c>
      <c r="U38" s="16">
        <f>COUNTIF(U2:U37,"통과")</f>
        <v/>
      </c>
      <c r="V38" s="19">
        <f>SUM(V2:V37)</f>
        <v/>
      </c>
      <c r="W38" s="16" t="n"/>
    </row>
    <row r="39">
      <c r="T39" s="20" t="inlineStr">
        <is>
          <t>← 통과 종수</t>
        </is>
      </c>
    </row>
  </sheetData>
  <autoFilter ref="A1:W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1" t="inlineStr">
        <is>
          <t>Open Duck Mini v2 - 출력 부품 목록</t>
        </is>
      </c>
      <c r="B1" t="inlineStr"/>
    </row>
    <row r="2">
      <c r="A2" s="20" t="inlineStr">
        <is>
          <t>작성 2026-09-10</t>
        </is>
      </c>
      <c r="B2" t="inlineStr"/>
    </row>
    <row r="4">
      <c r="A4" s="22" t="inlineStr">
        <is>
          <t>출처</t>
        </is>
      </c>
      <c r="B4" t="inlineStr"/>
    </row>
    <row r="5">
      <c r="A5" s="23" t="inlineStr">
        <is>
          <t>STL 원본</t>
        </is>
      </c>
      <c r="B5" s="24" t="inlineStr">
        <is>
          <t>github.com/apirrone/Open_Duck_Mini  v2 브랜치  print/ 디렉토리 (2026-09-01 다운로드)</t>
        </is>
      </c>
    </row>
    <row r="6">
      <c r="A6" s="23" t="inlineStr">
        <is>
          <t>수량·소재·인필</t>
        </is>
      </c>
      <c r="B6" s="24" t="inlineStr">
        <is>
          <t>docs/print_guide.md 원문: "All the parts are printed in standard PLA with 15% infill, except for foot_bottom_tpu.stl, which is to be printed in TPU at 40% infill."</t>
        </is>
      </c>
    </row>
    <row r="7">
      <c r="A7" s="23" t="inlineStr">
        <is>
          <t>CAD 원본</t>
        </is>
      </c>
      <c r="B7" s="24" t="inlineStr">
        <is>
          <t>cad.onshape.com/documents/64074dfcfa379b37d8a47762  (STEP 등 다른 포맷이 필요할 때)</t>
        </is>
      </c>
    </row>
    <row r="9">
      <c r="A9" s="22" t="inlineStr">
        <is>
          <t>측정값 (STL 실측 - 신뢰도 높음)</t>
        </is>
      </c>
      <c r="B9" t="inlineStr"/>
    </row>
    <row r="10">
      <c r="A10" s="23" t="inlineStr">
        <is>
          <t>크기 X/Y/Z</t>
        </is>
      </c>
      <c r="B10" s="24" t="inlineStr">
        <is>
          <t>STL 좌표계의 축정렬 바운딩박스. 슬라이서에 임포트하면 나오는 값과 동일</t>
        </is>
      </c>
    </row>
    <row r="11">
      <c r="A11" s="23" t="inlineStr">
        <is>
          <t>최소치수</t>
        </is>
      </c>
      <c r="B11" s="24" t="inlineStr">
        <is>
          <t>세 치수 중 가장 작은 값. 눕혔을 때의 높이이자 업체 최소치수 판정에 걸리는 값</t>
        </is>
      </c>
    </row>
    <row r="12">
      <c r="A12" s="23" t="inlineStr">
        <is>
          <t>실체적</t>
        </is>
      </c>
      <c r="B12" s="24" t="inlineStr">
        <is>
          <t>삼각형 부호부 체적의 합. 100% 채웠을 때의 부피</t>
        </is>
      </c>
    </row>
    <row r="13">
      <c r="A13" s="23" t="inlineStr">
        <is>
          <t>평균 살두께</t>
        </is>
      </c>
      <c r="B13" s="24" t="inlineStr">
        <is>
          <t>2 x 체적 / 표면적. 얇은 셸 부품에서 실제 벽 두께의 근사값</t>
        </is>
      </c>
    </row>
    <row r="14">
      <c r="A14" s="23" t="inlineStr">
        <is>
          <t>메시 상태</t>
        </is>
      </c>
      <c r="B14" s="24" t="inlineStr">
        <is>
          <t>36종 전부 watertight / 단일 바디 / 퇴화 삼각형 0 / winding 일관됨 - 파일 결함 없음</t>
        </is>
      </c>
    </row>
    <row r="16">
      <c r="A16" s="22" t="inlineStr">
        <is>
          <t>추정값 (계산 모델 - 오차 있음)</t>
        </is>
      </c>
      <c r="B16" t="inlineStr"/>
    </row>
    <row r="17">
      <c r="A17" s="23" t="inlineStr">
        <is>
          <t>필라멘트 (g)</t>
        </is>
      </c>
      <c r="B17" s="24" t="inlineStr">
        <is>
          <t>스킨 = min(표면적 x 0.85mm, 체적), 나머지에 인필 적용. 밀도 PLA 1.24 / TPU 1.21 g/cm3. 벽 2줄 + 상하 4레이어 가정. 실제와 ±15% 차이 가능</t>
        </is>
      </c>
    </row>
    <row r="18">
      <c r="A18" s="23" t="inlineStr">
        <is>
          <t>출력시간</t>
        </is>
      </c>
      <c r="B18" s="24" t="inlineStr">
        <is>
          <t>Bambu H2D 실효 압출량 15 mm3/s + 레이어당 0.5초 오버헤드 가정. 256x256 기종(A1/P1S/X1C)은 약 1.25배. 정확한 값은 Bambu Studio 슬라이스 결과를 볼 것</t>
        </is>
      </c>
    </row>
    <row r="20">
      <c r="A20" s="22" t="inlineStr">
        <is>
          <t>구멍 검출 (STL 기하 역산 - 검증 필요)</t>
        </is>
      </c>
      <c r="B20" t="inlineStr"/>
    </row>
    <row r="21">
      <c r="A21" s="23" t="inlineStr">
        <is>
          <t>방법</t>
        </is>
      </c>
      <c r="B21" s="24" t="inlineStr">
        <is>
          <t>각 축에 수직인 평면마다 정점을 모아 원 피팅. 잔차 0.06mm 이하 + 각도 갭 0.9rad 이하인 닫힌 원만 인정</t>
        </is>
      </c>
    </row>
    <row r="22">
      <c r="A22" s="23" t="inlineStr">
        <is>
          <t>D4.0 내외</t>
        </is>
      </c>
      <c r="B22" s="24" t="inlineStr">
        <is>
          <t>M3 열삽입 인서트 자리로 판정 (M3 인서트 표준 홀 지름). 해당 부품은 열가소성 소재 필수 - 레진(SLA)에는 인서트를 박을 수 없음</t>
        </is>
      </c>
    </row>
    <row r="23">
      <c r="A23" s="23" t="inlineStr">
        <is>
          <t>D3.2~3.5</t>
        </is>
      </c>
      <c r="B23" s="24" t="inlineStr">
        <is>
          <t>M3 나사 통과 구멍</t>
        </is>
      </c>
    </row>
    <row r="24">
      <c r="A24" s="23" t="inlineStr">
        <is>
          <t>D19.8~20.1</t>
        </is>
      </c>
      <c r="B24" s="24" t="inlineStr">
        <is>
          <t>626ZZ 베어링 포켓 (6x19x6). 608ZZ 아님</t>
        </is>
      </c>
    </row>
    <row r="25">
      <c r="A25" s="23" t="inlineStr">
        <is>
          <t>한계</t>
        </is>
      </c>
      <c r="B25" s="24" t="inlineStr">
        <is>
          <t>assembly guide를 읽은 것이 아니라 STL 형상에서 역산한 값. flash_light_module / speaker_stand 는 D4.0-&gt;5.2 로 이어지는 테이퍼(원뿔)를 인서트 구멍으로 오검출했을 가능성이 큼. 조립 전 실물 확인 필요</t>
        </is>
      </c>
    </row>
    <row r="27">
      <c r="A27" s="22" t="inlineStr">
        <is>
          <t>업체 최소치수 (2026-09-10 확인)</t>
        </is>
      </c>
      <c r="B27" t="inlineStr"/>
    </row>
    <row r="28">
      <c r="A28" s="23" t="inlineStr">
        <is>
          <t>JLC3DP PLA-P</t>
        </is>
      </c>
      <c r="B28" s="24" t="inlineStr">
        <is>
          <t>30 x 30 x 10 mm. 단 flash_light_module(28x31.5x41)은 이 기준을 만족하는데도 실제로 거부됨 -&gt; 공표 기준과 실제 판정이 일치하지 않음</t>
        </is>
      </c>
    </row>
    <row r="29">
      <c r="A29" s="23" t="inlineStr">
        <is>
          <t>JLC3DP TPU</t>
        </is>
      </c>
      <c r="B29" s="24" t="inlineStr">
        <is>
          <t>9 x 9 x 30 mm -&gt; foot_bottom_tpu(두께 8.0mm)가 1mm 미달로 거부</t>
        </is>
      </c>
    </row>
    <row r="30">
      <c r="A30" s="23" t="inlineStr">
        <is>
          <t>아이컨택 FDM</t>
        </is>
      </c>
      <c r="B30" s="24" t="inlineStr">
        <is>
          <t>30 x 30 x 15 mm (장비 페이지 표기). 다만 실제 견적에서는 두께 8mm 부품도 가격이 산출됨 -&gt; 하드 리젝트 기준이 아닌 것으로 보임</t>
        </is>
      </c>
    </row>
    <row r="31">
      <c r="A31" s="23" t="inlineStr">
        <is>
          <t>아이컨택 업로드</t>
        </is>
      </c>
      <c r="B31" s="24" t="inlineStr">
        <is>
          <t>STL(권장) / STP / OBJ / 3MF / PLY / STEP. 최대 80MB. 권장 벽두께 1.2mm 이상, 최소 0.8mm 이상 - 36종 전부 평균 살두께 1.26mm 이상으로 충족</t>
        </is>
      </c>
    </row>
    <row r="33">
      <c r="A33" s="22" t="inlineStr">
        <is>
          <t>최대 크기 (전 부품 통과)</t>
        </is>
      </c>
      <c r="B33" t="inlineStr"/>
    </row>
    <row r="34">
      <c r="A34" s="23" t="inlineStr">
        <is>
          <t>최대 부품</t>
        </is>
      </c>
      <c r="B34" s="24" t="inlineStr">
        <is>
          <t>head.stl  199.8 x 197.3 x 59.4 mm -&gt; 베드 200x200 이상 필요</t>
        </is>
      </c>
    </row>
    <row r="35">
      <c r="A35" s="23" t="inlineStr">
        <is>
          <t>장비별</t>
        </is>
      </c>
      <c r="B35" s="24" t="inlineStr">
        <is>
          <t>H2D 325x320 통과 / X1C, P1S, A1 256x256 통과 / A1 mini 180x180 불가 (head, head_bot_sheet)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2026-09-09T16:10:29Z</dcterms:created>
  <dcterms:modified xmlns:dcterms="http://purl.org/dc/terms/" xmlns:xsi="http://www.w3.org/2001/XMLSchema-instance" xsi:type="dcterms:W3CDTF">2026-09-09T16:10:29Z</dcterms:modified>
</cp:coreProperties>
</file>
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chool\2026_2\Microduck\print\"/>
    </mc:Choice>
  </mc:AlternateContent>
  <xr:revisionPtr revIDLastSave="0" documentId="13_ncr:1_{52B4AAFE-7CDD-41B0-8E67-846BCFE4947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출력현황" sheetId="1" r:id="rId1"/>
    <sheet name="근거" sheetId="2" r:id="rId2"/>
  </sheets>
  <definedNames>
    <definedName name="_xlnm._FilterDatabase" localSheetId="0" hidden="1">출력현황!$A$8:$M$44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4" i="1" l="1"/>
  <c r="H44" i="1"/>
  <c r="L44" i="1" s="1"/>
  <c r="I43" i="1"/>
  <c r="H43" i="1"/>
  <c r="L43" i="1" s="1"/>
  <c r="I42" i="1"/>
  <c r="H42" i="1"/>
  <c r="L42" i="1" s="1"/>
  <c r="I41" i="1"/>
  <c r="H41" i="1"/>
  <c r="L41" i="1" s="1"/>
  <c r="I40" i="1"/>
  <c r="H40" i="1"/>
  <c r="L40" i="1" s="1"/>
  <c r="I39" i="1"/>
  <c r="H39" i="1"/>
  <c r="L39" i="1" s="1"/>
  <c r="I38" i="1"/>
  <c r="H38" i="1"/>
  <c r="L38" i="1" s="1"/>
  <c r="L37" i="1"/>
  <c r="I37" i="1"/>
  <c r="H37" i="1"/>
  <c r="I36" i="1"/>
  <c r="H36" i="1"/>
  <c r="L36" i="1" s="1"/>
  <c r="I35" i="1"/>
  <c r="H35" i="1"/>
  <c r="L35" i="1" s="1"/>
  <c r="I34" i="1"/>
  <c r="H34" i="1"/>
  <c r="L34" i="1" s="1"/>
  <c r="I33" i="1"/>
  <c r="H33" i="1"/>
  <c r="L33" i="1" s="1"/>
  <c r="I32" i="1"/>
  <c r="H32" i="1"/>
  <c r="L32" i="1" s="1"/>
  <c r="I31" i="1"/>
  <c r="H31" i="1"/>
  <c r="L31" i="1" s="1"/>
  <c r="I30" i="1"/>
  <c r="H30" i="1"/>
  <c r="L30" i="1" s="1"/>
  <c r="I29" i="1"/>
  <c r="H29" i="1"/>
  <c r="L29" i="1" s="1"/>
  <c r="I28" i="1"/>
  <c r="H28" i="1"/>
  <c r="L28" i="1" s="1"/>
  <c r="I27" i="1"/>
  <c r="H27" i="1"/>
  <c r="L27" i="1" s="1"/>
  <c r="I26" i="1"/>
  <c r="H26" i="1"/>
  <c r="L26" i="1" s="1"/>
  <c r="I25" i="1"/>
  <c r="H25" i="1"/>
  <c r="L25" i="1" s="1"/>
  <c r="I24" i="1"/>
  <c r="H24" i="1"/>
  <c r="L24" i="1" s="1"/>
  <c r="L23" i="1"/>
  <c r="I23" i="1"/>
  <c r="H23" i="1"/>
  <c r="I22" i="1"/>
  <c r="H22" i="1"/>
  <c r="L22" i="1" s="1"/>
  <c r="I21" i="1"/>
  <c r="H21" i="1"/>
  <c r="L21" i="1" s="1"/>
  <c r="I20" i="1"/>
  <c r="H20" i="1"/>
  <c r="L20" i="1" s="1"/>
  <c r="I19" i="1"/>
  <c r="H19" i="1"/>
  <c r="L19" i="1" s="1"/>
  <c r="I18" i="1"/>
  <c r="H18" i="1"/>
  <c r="L18" i="1" s="1"/>
  <c r="I17" i="1"/>
  <c r="H17" i="1"/>
  <c r="L17" i="1" s="1"/>
  <c r="I16" i="1"/>
  <c r="H16" i="1"/>
  <c r="L16" i="1" s="1"/>
  <c r="I15" i="1"/>
  <c r="H15" i="1"/>
  <c r="L15" i="1" s="1"/>
  <c r="I14" i="1"/>
  <c r="H14" i="1"/>
  <c r="L14" i="1" s="1"/>
  <c r="I13" i="1"/>
  <c r="H13" i="1"/>
  <c r="L13" i="1" s="1"/>
  <c r="J6" i="1" s="1"/>
  <c r="I12" i="1"/>
  <c r="H12" i="1"/>
  <c r="L12" i="1" s="1"/>
  <c r="I11" i="1"/>
  <c r="H11" i="1"/>
  <c r="L11" i="1" s="1"/>
  <c r="L10" i="1"/>
  <c r="I10" i="1"/>
  <c r="H10" i="1"/>
  <c r="I9" i="1"/>
  <c r="H9" i="1"/>
  <c r="L9" i="1" s="1"/>
  <c r="F6" i="1"/>
  <c r="E6" i="1"/>
  <c r="C6" i="1"/>
  <c r="B6" i="1"/>
  <c r="H6" i="1" l="1"/>
  <c r="D6" i="1"/>
  <c r="G6" i="1"/>
  <c r="I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tracker</author>
  </authors>
  <commentList>
    <comment ref="G5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g/개 추정값(±15%) x 남은 수량. 스풀 살 때 참고용</t>
        </r>
      </text>
    </comment>
  </commentList>
</comments>
</file>

<file path=xl/sharedStrings.xml><?xml version="1.0" encoding="utf-8"?>
<sst xmlns="http://schemas.openxmlformats.org/spreadsheetml/2006/main" count="205" uniqueCount="90">
  <si>
    <t>Open Duck Mini v2 — 출력 현황</t>
  </si>
  <si>
    <t>파란 칸 두 개만 입력: [완료 수량]에 뽑은 개수, [배치]에 판 이름(예: 검정1). 나머지는 자동 계산.  예) knee_to_ankle_left_sheet 4개 중 2개 뽑았으면 완료 수량 2 → 상태 '진행중', 남은 수량 2</t>
  </si>
  <si>
    <t>출력 색 (STL 파일·출력 색 칸 바탕색):</t>
  </si>
  <si>
    <t>검정</t>
  </si>
  <si>
    <t>노랑</t>
  </si>
  <si>
    <t>흰색</t>
  </si>
  <si>
    <t>전체 개수</t>
  </si>
  <si>
    <t>완료 개수</t>
  </si>
  <si>
    <t>남은 개수</t>
  </si>
  <si>
    <t>진행률</t>
  </si>
  <si>
    <t>완료 종류</t>
  </si>
  <si>
    <t>남은 검정 PLA (g)</t>
  </si>
  <si>
    <t>남은 노랑 PLA (g)</t>
  </si>
  <si>
    <t>남은 흰색 PLA (g)</t>
  </si>
  <si>
    <t>남은 TPU (g)</t>
  </si>
  <si>
    <t>No.</t>
  </si>
  <si>
    <t>부위</t>
  </si>
  <si>
    <t>STL 파일</t>
  </si>
  <si>
    <t>출력 색</t>
  </si>
  <si>
    <t>소재</t>
  </si>
  <si>
    <t>필요 수량</t>
  </si>
  <si>
    <t>완료 수량</t>
  </si>
  <si>
    <t>남은 수량</t>
  </si>
  <si>
    <t>상태</t>
  </si>
  <si>
    <t>배치</t>
  </si>
  <si>
    <t>g/개 (추정)</t>
  </si>
  <si>
    <t>남은 g</t>
  </si>
  <si>
    <t>비고</t>
  </si>
  <si>
    <t>다리·발</t>
  </si>
  <si>
    <t>left_cache.stl</t>
  </si>
  <si>
    <t>PLA</t>
  </si>
  <si>
    <t>right_cache.stl</t>
  </si>
  <si>
    <t>foot_top.stl</t>
  </si>
  <si>
    <t>foot_side.stl</t>
  </si>
  <si>
    <t>foot_bottom_tpu.stl</t>
  </si>
  <si>
    <t>TPU</t>
  </si>
  <si>
    <t>TPU 40%, 외부 스풀, 따로 한 판; CAD 색 (TPU)</t>
  </si>
  <si>
    <t>foot_bottom_pla.stl</t>
  </si>
  <si>
    <t>left_roll_to_pitch.stl</t>
  </si>
  <si>
    <t>CAD는 주황 -&gt; 노랑</t>
  </si>
  <si>
    <t>right_roll_to_pitch.stl</t>
  </si>
  <si>
    <t>knee_to_ankle_left_sheet.stl</t>
  </si>
  <si>
    <t>눕혀서 출력</t>
  </si>
  <si>
    <t>knee_to_ankle_right_sheet.stl</t>
  </si>
  <si>
    <t>roll_motor_top.stl</t>
  </si>
  <si>
    <t>leg_spacer.stl</t>
  </si>
  <si>
    <t>CAD는 회색 -&gt; 검정 (안쪽 부품)</t>
  </si>
  <si>
    <t>roll_motor_bottom.stl</t>
  </si>
  <si>
    <t>몸통·배터리</t>
  </si>
  <si>
    <t>body_middle_bottom.stl</t>
  </si>
  <si>
    <t>body_middle_top.stl</t>
  </si>
  <si>
    <t>body_front.stl</t>
  </si>
  <si>
    <t>trunk_top.stl</t>
  </si>
  <si>
    <t>body_back.stl</t>
  </si>
  <si>
    <t>trunk_bottom.stl</t>
  </si>
  <si>
    <t>battery_pack_lid.stl</t>
  </si>
  <si>
    <t>CAD에 없음 -&gt; 검정 (추정)</t>
  </si>
  <si>
    <t>목·머리·안테나</t>
  </si>
  <si>
    <t>head.stl</t>
  </si>
  <si>
    <t>최대 부품 199.8×197.3</t>
  </si>
  <si>
    <t>head_bot_sheet.stl</t>
  </si>
  <si>
    <t>head_yaw_to_roll.stl</t>
  </si>
  <si>
    <t>원문 x1 + 여분 1 (낙하 파손 대비); CAD는 회색 -&gt; 검정 (안쪽 부품)</t>
  </si>
  <si>
    <t>head_pitch_to_yaw.stl</t>
  </si>
  <si>
    <t>head_roll_mount.stl</t>
  </si>
  <si>
    <t>neck_left_sheet.stl</t>
  </si>
  <si>
    <t>neck_right_sheet.stl</t>
  </si>
  <si>
    <t>left_antenna_holder.stl</t>
  </si>
  <si>
    <t>right_antenna_holder.stl</t>
  </si>
  <si>
    <t>right_eye.stl</t>
  </si>
  <si>
    <t>left_eye.stl</t>
  </si>
  <si>
    <t>전장·장식</t>
  </si>
  <si>
    <t>speaker_stand.stl</t>
  </si>
  <si>
    <t>flash_light_module.stl</t>
  </si>
  <si>
    <t>speaker_interface.stl</t>
  </si>
  <si>
    <t>bulb.stl</t>
  </si>
  <si>
    <t>CAD에 없음 - 빛이 통과하는 판이라 흰색</t>
  </si>
  <si>
    <t>flash_reflector_interface.stl</t>
  </si>
  <si>
    <t>근거·가정</t>
  </si>
  <si>
    <t>부품·수량</t>
  </si>
  <si>
    <t>print/print_guide_original.md (apirrone/Open_Duck_Mini v2 브랜치, 2026-09-01) 36종 49개</t>
  </si>
  <si>
    <t>여분 +2</t>
  </si>
  <si>
    <t>head_yaw_to_roll, head_pitch_to_yaw 각 1개 추가 → 36종 53개. 근거: PRINT_CHECKLIST.md 주의사항 (2026-09-14 제작자 제보, 낙하 시 목 출력물 파손)</t>
  </si>
  <si>
    <t>소재·인필</t>
  </si>
  <si>
    <t>PLA 15%, foot_bottom_tpu만 TPU 40% (원문)</t>
  </si>
  <si>
    <t>Open_Duck_Playground/playground/open_duck_mini_v2/xmls/open_duck_mini_v2.xml 의 material rgba (Onshape CAD 외관색). 밝은 회색 0.92 → 흰색, 진회색 0.18~0.31 → 검정, 노랑 (0.98,0.71,0.00) → 노랑, 주황 (0.91,0.57,0.16) → 노랑, 중간 회색 0.4~0.65 → 검정. CAD에 없는 부품(눈·전장)은 추정 — 비고 칸에 표시</t>
  </si>
  <si>
    <t>g/개</t>
  </si>
  <si>
    <t>print/OpenDuckMiniV2_parts.xlsx 의 추정값을 값으로 복사 (±15%). 출력 시간은 Bambu Studio 슬라이스 결과를 볼 것</t>
  </si>
  <si>
    <t>안테나</t>
  </si>
  <si>
    <t>시뮬 메시 antenna.stl은 출력 대상 아님 — 피아노선/카본로드로 대체, 홀더만 출력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</si>
</sst>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sz val="9"/>
      <color rgb="FF666666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3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62626"/>
      </patternFill>
    </fill>
    <fill>
      <patternFill patternType="solid">
        <fgColor rgb="FFFFD43B"/>
      </patternFill>
    </fill>
    <fill>
      <patternFill patternType="solid">
        <fgColor rgb="FFFFFFFF"/>
      </patternFill>
    </fill>
    <fill>
      <patternFill patternType="solid">
        <fgColor rgb="FFF3F5F7"/>
      </patternFill>
    </fill>
    <fill>
      <patternFill patternType="solid">
        <fgColor rgb="FFDDE3E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A6ADB4"/>
      </left>
      <right style="thin">
        <color rgb="FFA6ADB4"/>
      </right>
      <top style="thin">
        <color rgb="FFA6ADB4"/>
      </top>
      <bottom style="thin">
        <color rgb="FFA6ADB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9" fontId="6" fillId="5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7" fillId="0" borderId="0" xfId="0" applyFont="1"/>
  </cellXfs>
  <cellStyles count="1">
    <cellStyle name="표준" xfId="0" builtinId="0"/>
  </cellStyles>
  <dxfs count="3">
    <dxf>
      <fill>
        <patternFill patternType="solid">
          <fgColor rgb="FFEFEFEF"/>
        </patternFill>
      </fill>
    </dxf>
    <dxf>
      <fill>
        <patternFill patternType="solid">
          <fgColor rgb="FFFCE4D6"/>
        </patternFill>
      </fill>
    </dxf>
    <dxf>
      <font>
        <color rgb="FF6A8A5F"/>
        <name val="맑은 고딕"/>
      </font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workbookViewId="0">
      <pane xSplit="4" ySplit="8" topLeftCell="E9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5" customWidth="1"/>
    <col min="2" max="2" width="13" customWidth="1"/>
    <col min="3" max="3" width="31" customWidth="1"/>
    <col min="4" max="4" width="8" customWidth="1"/>
    <col min="5" max="5" width="6" customWidth="1"/>
    <col min="6" max="9" width="9" customWidth="1"/>
    <col min="10" max="10" width="8" customWidth="1"/>
    <col min="11" max="11" width="10" customWidth="1"/>
    <col min="12" max="12" width="8" customWidth="1"/>
    <col min="13" max="13" width="40" customWidth="1"/>
  </cols>
  <sheetData>
    <row r="1" spans="1:13" ht="20.65" x14ac:dyDescent="0.7">
      <c r="A1" s="1" t="s">
        <v>0</v>
      </c>
    </row>
    <row r="2" spans="1:13" x14ac:dyDescent="0.6">
      <c r="A2" s="2" t="s">
        <v>1</v>
      </c>
    </row>
    <row r="3" spans="1:13" x14ac:dyDescent="0.6">
      <c r="A3" s="3" t="s">
        <v>2</v>
      </c>
      <c r="D3" s="4" t="s">
        <v>3</v>
      </c>
      <c r="E3" s="5" t="s">
        <v>4</v>
      </c>
      <c r="F3" s="6" t="s">
        <v>5</v>
      </c>
    </row>
    <row r="5" spans="1:13" x14ac:dyDescent="0.6"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</row>
    <row r="6" spans="1:13" ht="24" customHeight="1" x14ac:dyDescent="0.6">
      <c r="B6" s="8">
        <f>SUM(F9:F44)</f>
        <v>53</v>
      </c>
      <c r="C6" s="8">
        <f>SUM(G9:G44)</f>
        <v>0</v>
      </c>
      <c r="D6" s="8">
        <f>SUM(H9:H44)</f>
        <v>53</v>
      </c>
      <c r="E6" s="9">
        <f>IF(SUM(F9:F44)=0,0,SUM(G9:G44)/SUM(F9:F44))</f>
        <v>0</v>
      </c>
      <c r="F6" s="10" t="str">
        <f>COUNTIF(I9:I44,"완료")&amp;" / "&amp;COUNTA(C9:C44)</f>
        <v>0 / 36</v>
      </c>
      <c r="G6" s="11">
        <f>SUMIFS(L9:L44,D9:D44,"검정",E9:E44,"PLA")</f>
        <v>363</v>
      </c>
      <c r="H6" s="11">
        <f>SUMIFS(L9:L44,D9:D44,"노랑",E9:E44,"PLA")</f>
        <v>113.80000000000001</v>
      </c>
      <c r="I6" s="11">
        <f>SUMIFS(L9:L44,D9:D44,"흰색",E9:E44,"PLA")</f>
        <v>541.20000000000005</v>
      </c>
      <c r="J6" s="11">
        <f>SUMIFS(L9:L44,E9:E44,"TPU")</f>
        <v>34.200000000000003</v>
      </c>
    </row>
    <row r="8" spans="1:13" x14ac:dyDescent="0.6">
      <c r="A8" s="12" t="s">
        <v>15</v>
      </c>
      <c r="B8" s="12" t="s">
        <v>16</v>
      </c>
      <c r="C8" s="12" t="s">
        <v>17</v>
      </c>
      <c r="D8" s="12" t="s">
        <v>18</v>
      </c>
      <c r="E8" s="12" t="s">
        <v>19</v>
      </c>
      <c r="F8" s="12" t="s">
        <v>20</v>
      </c>
      <c r="G8" s="13" t="s">
        <v>21</v>
      </c>
      <c r="H8" s="12" t="s">
        <v>22</v>
      </c>
      <c r="I8" s="12" t="s">
        <v>23</v>
      </c>
      <c r="J8" s="13" t="s">
        <v>24</v>
      </c>
      <c r="K8" s="12" t="s">
        <v>25</v>
      </c>
      <c r="L8" s="12" t="s">
        <v>26</v>
      </c>
      <c r="M8" s="12" t="s">
        <v>27</v>
      </c>
    </row>
    <row r="9" spans="1:13" x14ac:dyDescent="0.6">
      <c r="A9" s="14">
        <v>1</v>
      </c>
      <c r="B9" s="15" t="s">
        <v>28</v>
      </c>
      <c r="C9" s="16" t="s">
        <v>29</v>
      </c>
      <c r="D9" s="6" t="s">
        <v>5</v>
      </c>
      <c r="E9" s="14" t="s">
        <v>30</v>
      </c>
      <c r="F9" s="14">
        <v>1</v>
      </c>
      <c r="G9" s="17">
        <v>0</v>
      </c>
      <c r="H9" s="14">
        <f t="shared" ref="H9:H44" si="0">MAX(0,F9-G9)</f>
        <v>1</v>
      </c>
      <c r="I9" s="14" t="str">
        <f t="shared" ref="I9:I44" si="1">IF(G9&gt;=F9,"완료",IF(G9&gt;0,"진행중","미출력"))</f>
        <v>미출력</v>
      </c>
      <c r="J9" s="17"/>
      <c r="K9" s="18">
        <v>49.6</v>
      </c>
      <c r="L9" s="19">
        <f t="shared" ref="L9:L44" si="2">H9*K9</f>
        <v>49.6</v>
      </c>
      <c r="M9" s="15"/>
    </row>
    <row r="10" spans="1:13" x14ac:dyDescent="0.6">
      <c r="A10" s="14">
        <v>2</v>
      </c>
      <c r="B10" s="15" t="s">
        <v>28</v>
      </c>
      <c r="C10" s="16" t="s">
        <v>31</v>
      </c>
      <c r="D10" s="6" t="s">
        <v>5</v>
      </c>
      <c r="E10" s="14" t="s">
        <v>30</v>
      </c>
      <c r="F10" s="14">
        <v>1</v>
      </c>
      <c r="G10" s="17">
        <v>0</v>
      </c>
      <c r="H10" s="14">
        <f t="shared" si="0"/>
        <v>1</v>
      </c>
      <c r="I10" s="14" t="str">
        <f t="shared" si="1"/>
        <v>미출력</v>
      </c>
      <c r="J10" s="17"/>
      <c r="K10" s="18">
        <v>49.6</v>
      </c>
      <c r="L10" s="19">
        <f t="shared" si="2"/>
        <v>49.6</v>
      </c>
      <c r="M10" s="15"/>
    </row>
    <row r="11" spans="1:13" x14ac:dyDescent="0.6">
      <c r="A11" s="14">
        <v>3</v>
      </c>
      <c r="B11" s="15" t="s">
        <v>28</v>
      </c>
      <c r="C11" s="20" t="s">
        <v>32</v>
      </c>
      <c r="D11" s="5" t="s">
        <v>4</v>
      </c>
      <c r="E11" s="14" t="s">
        <v>30</v>
      </c>
      <c r="F11" s="14">
        <v>2</v>
      </c>
      <c r="G11" s="17">
        <v>0</v>
      </c>
      <c r="H11" s="14">
        <f t="shared" si="0"/>
        <v>2</v>
      </c>
      <c r="I11" s="14" t="str">
        <f t="shared" si="1"/>
        <v>미출력</v>
      </c>
      <c r="J11" s="17"/>
      <c r="K11" s="18">
        <v>21.7</v>
      </c>
      <c r="L11" s="19">
        <f t="shared" si="2"/>
        <v>43.4</v>
      </c>
      <c r="M11" s="15"/>
    </row>
    <row r="12" spans="1:13" x14ac:dyDescent="0.6">
      <c r="A12" s="14">
        <v>4</v>
      </c>
      <c r="B12" s="15" t="s">
        <v>28</v>
      </c>
      <c r="C12" s="20" t="s">
        <v>33</v>
      </c>
      <c r="D12" s="5" t="s">
        <v>4</v>
      </c>
      <c r="E12" s="14" t="s">
        <v>30</v>
      </c>
      <c r="F12" s="14">
        <v>2</v>
      </c>
      <c r="G12" s="17">
        <v>0</v>
      </c>
      <c r="H12" s="14">
        <f t="shared" si="0"/>
        <v>2</v>
      </c>
      <c r="I12" s="14" t="str">
        <f t="shared" si="1"/>
        <v>미출력</v>
      </c>
      <c r="J12" s="17"/>
      <c r="K12" s="18">
        <v>12.5</v>
      </c>
      <c r="L12" s="19">
        <f t="shared" si="2"/>
        <v>25</v>
      </c>
      <c r="M12" s="15"/>
    </row>
    <row r="13" spans="1:13" x14ac:dyDescent="0.6">
      <c r="A13" s="14">
        <v>5</v>
      </c>
      <c r="B13" s="15" t="s">
        <v>28</v>
      </c>
      <c r="C13" s="21" t="s">
        <v>34</v>
      </c>
      <c r="D13" s="4" t="s">
        <v>3</v>
      </c>
      <c r="E13" s="14" t="s">
        <v>35</v>
      </c>
      <c r="F13" s="14">
        <v>2</v>
      </c>
      <c r="G13" s="17">
        <v>0</v>
      </c>
      <c r="H13" s="14">
        <f t="shared" si="0"/>
        <v>2</v>
      </c>
      <c r="I13" s="14" t="str">
        <f t="shared" si="1"/>
        <v>미출력</v>
      </c>
      <c r="J13" s="17"/>
      <c r="K13" s="18">
        <v>17.100000000000001</v>
      </c>
      <c r="L13" s="19">
        <f t="shared" si="2"/>
        <v>34.200000000000003</v>
      </c>
      <c r="M13" s="15" t="s">
        <v>36</v>
      </c>
    </row>
    <row r="14" spans="1:13" x14ac:dyDescent="0.6">
      <c r="A14" s="14">
        <v>6</v>
      </c>
      <c r="B14" s="15" t="s">
        <v>28</v>
      </c>
      <c r="C14" s="21" t="s">
        <v>37</v>
      </c>
      <c r="D14" s="4" t="s">
        <v>3</v>
      </c>
      <c r="E14" s="14" t="s">
        <v>30</v>
      </c>
      <c r="F14" s="14">
        <v>2</v>
      </c>
      <c r="G14" s="17">
        <v>0</v>
      </c>
      <c r="H14" s="14">
        <f t="shared" si="0"/>
        <v>2</v>
      </c>
      <c r="I14" s="14" t="str">
        <f t="shared" si="1"/>
        <v>미출력</v>
      </c>
      <c r="J14" s="17"/>
      <c r="K14" s="18">
        <v>9.1</v>
      </c>
      <c r="L14" s="19">
        <f t="shared" si="2"/>
        <v>18.2</v>
      </c>
      <c r="M14" s="15"/>
    </row>
    <row r="15" spans="1:13" x14ac:dyDescent="0.6">
      <c r="A15" s="14">
        <v>7</v>
      </c>
      <c r="B15" s="15" t="s">
        <v>28</v>
      </c>
      <c r="C15" s="20" t="s">
        <v>38</v>
      </c>
      <c r="D15" s="5" t="s">
        <v>4</v>
      </c>
      <c r="E15" s="14" t="s">
        <v>30</v>
      </c>
      <c r="F15" s="14">
        <v>1</v>
      </c>
      <c r="G15" s="17">
        <v>0</v>
      </c>
      <c r="H15" s="14">
        <f t="shared" si="0"/>
        <v>1</v>
      </c>
      <c r="I15" s="14" t="str">
        <f t="shared" si="1"/>
        <v>미출력</v>
      </c>
      <c r="J15" s="17"/>
      <c r="K15" s="18">
        <v>19.3</v>
      </c>
      <c r="L15" s="19">
        <f t="shared" si="2"/>
        <v>19.3</v>
      </c>
      <c r="M15" s="15" t="s">
        <v>39</v>
      </c>
    </row>
    <row r="16" spans="1:13" x14ac:dyDescent="0.6">
      <c r="A16" s="14">
        <v>8</v>
      </c>
      <c r="B16" s="15" t="s">
        <v>28</v>
      </c>
      <c r="C16" s="20" t="s">
        <v>40</v>
      </c>
      <c r="D16" s="5" t="s">
        <v>4</v>
      </c>
      <c r="E16" s="14" t="s">
        <v>30</v>
      </c>
      <c r="F16" s="14">
        <v>1</v>
      </c>
      <c r="G16" s="17">
        <v>0</v>
      </c>
      <c r="H16" s="14">
        <f t="shared" si="0"/>
        <v>1</v>
      </c>
      <c r="I16" s="14" t="str">
        <f t="shared" si="1"/>
        <v>미출력</v>
      </c>
      <c r="J16" s="17"/>
      <c r="K16" s="18">
        <v>19.3</v>
      </c>
      <c r="L16" s="19">
        <f t="shared" si="2"/>
        <v>19.3</v>
      </c>
      <c r="M16" s="15" t="s">
        <v>39</v>
      </c>
    </row>
    <row r="17" spans="1:13" x14ac:dyDescent="0.6">
      <c r="A17" s="14">
        <v>9</v>
      </c>
      <c r="B17" s="15" t="s">
        <v>28</v>
      </c>
      <c r="C17" s="21" t="s">
        <v>41</v>
      </c>
      <c r="D17" s="4" t="s">
        <v>3</v>
      </c>
      <c r="E17" s="14" t="s">
        <v>30</v>
      </c>
      <c r="F17" s="14">
        <v>4</v>
      </c>
      <c r="G17" s="17">
        <v>0</v>
      </c>
      <c r="H17" s="14">
        <f t="shared" si="0"/>
        <v>4</v>
      </c>
      <c r="I17" s="14" t="str">
        <f t="shared" si="1"/>
        <v>미출력</v>
      </c>
      <c r="J17" s="17"/>
      <c r="K17" s="18">
        <v>6.3</v>
      </c>
      <c r="L17" s="19">
        <f t="shared" si="2"/>
        <v>25.2</v>
      </c>
      <c r="M17" s="15" t="s">
        <v>42</v>
      </c>
    </row>
    <row r="18" spans="1:13" x14ac:dyDescent="0.6">
      <c r="A18" s="14">
        <v>10</v>
      </c>
      <c r="B18" s="15" t="s">
        <v>28</v>
      </c>
      <c r="C18" s="21" t="s">
        <v>43</v>
      </c>
      <c r="D18" s="4" t="s">
        <v>3</v>
      </c>
      <c r="E18" s="14" t="s">
        <v>30</v>
      </c>
      <c r="F18" s="14">
        <v>4</v>
      </c>
      <c r="G18" s="17">
        <v>0</v>
      </c>
      <c r="H18" s="14">
        <f t="shared" si="0"/>
        <v>4</v>
      </c>
      <c r="I18" s="14" t="str">
        <f t="shared" si="1"/>
        <v>미출력</v>
      </c>
      <c r="J18" s="17"/>
      <c r="K18" s="18">
        <v>5.9</v>
      </c>
      <c r="L18" s="19">
        <f t="shared" si="2"/>
        <v>23.6</v>
      </c>
      <c r="M18" s="15" t="s">
        <v>42</v>
      </c>
    </row>
    <row r="19" spans="1:13" x14ac:dyDescent="0.6">
      <c r="A19" s="14">
        <v>11</v>
      </c>
      <c r="B19" s="15" t="s">
        <v>28</v>
      </c>
      <c r="C19" s="16" t="s">
        <v>44</v>
      </c>
      <c r="D19" s="6" t="s">
        <v>5</v>
      </c>
      <c r="E19" s="14" t="s">
        <v>30</v>
      </c>
      <c r="F19" s="14">
        <v>2</v>
      </c>
      <c r="G19" s="17">
        <v>0</v>
      </c>
      <c r="H19" s="14">
        <f t="shared" si="0"/>
        <v>2</v>
      </c>
      <c r="I19" s="14" t="str">
        <f t="shared" si="1"/>
        <v>미출력</v>
      </c>
      <c r="J19" s="17"/>
      <c r="K19" s="18">
        <v>6.5</v>
      </c>
      <c r="L19" s="19">
        <f t="shared" si="2"/>
        <v>13</v>
      </c>
      <c r="M19" s="15"/>
    </row>
    <row r="20" spans="1:13" x14ac:dyDescent="0.6">
      <c r="A20" s="14">
        <v>12</v>
      </c>
      <c r="B20" s="15" t="s">
        <v>28</v>
      </c>
      <c r="C20" s="21" t="s">
        <v>45</v>
      </c>
      <c r="D20" s="4" t="s">
        <v>3</v>
      </c>
      <c r="E20" s="14" t="s">
        <v>30</v>
      </c>
      <c r="F20" s="14">
        <v>4</v>
      </c>
      <c r="G20" s="17">
        <v>0</v>
      </c>
      <c r="H20" s="14">
        <f t="shared" si="0"/>
        <v>4</v>
      </c>
      <c r="I20" s="14" t="str">
        <f t="shared" si="1"/>
        <v>미출력</v>
      </c>
      <c r="J20" s="17"/>
      <c r="K20" s="18">
        <v>4.7</v>
      </c>
      <c r="L20" s="19">
        <f t="shared" si="2"/>
        <v>18.8</v>
      </c>
      <c r="M20" s="15" t="s">
        <v>46</v>
      </c>
    </row>
    <row r="21" spans="1:13" x14ac:dyDescent="0.6">
      <c r="A21" s="14">
        <v>13</v>
      </c>
      <c r="B21" s="15" t="s">
        <v>28</v>
      </c>
      <c r="C21" s="21" t="s">
        <v>47</v>
      </c>
      <c r="D21" s="4" t="s">
        <v>3</v>
      </c>
      <c r="E21" s="14" t="s">
        <v>30</v>
      </c>
      <c r="F21" s="14">
        <v>2</v>
      </c>
      <c r="G21" s="17">
        <v>0</v>
      </c>
      <c r="H21" s="14">
        <f t="shared" si="0"/>
        <v>2</v>
      </c>
      <c r="I21" s="14" t="str">
        <f t="shared" si="1"/>
        <v>미출력</v>
      </c>
      <c r="J21" s="17"/>
      <c r="K21" s="18">
        <v>6.5</v>
      </c>
      <c r="L21" s="19">
        <f t="shared" si="2"/>
        <v>13</v>
      </c>
      <c r="M21" s="15" t="s">
        <v>46</v>
      </c>
    </row>
    <row r="22" spans="1:13" x14ac:dyDescent="0.6">
      <c r="A22" s="14">
        <v>14</v>
      </c>
      <c r="B22" s="15" t="s">
        <v>48</v>
      </c>
      <c r="C22" s="16" t="s">
        <v>49</v>
      </c>
      <c r="D22" s="6" t="s">
        <v>5</v>
      </c>
      <c r="E22" s="14" t="s">
        <v>30</v>
      </c>
      <c r="F22" s="14">
        <v>1</v>
      </c>
      <c r="G22" s="17">
        <v>0</v>
      </c>
      <c r="H22" s="14">
        <f t="shared" si="0"/>
        <v>1</v>
      </c>
      <c r="I22" s="14" t="str">
        <f t="shared" si="1"/>
        <v>미출력</v>
      </c>
      <c r="J22" s="17"/>
      <c r="K22" s="18">
        <v>80.400000000000006</v>
      </c>
      <c r="L22" s="19">
        <f t="shared" si="2"/>
        <v>80.400000000000006</v>
      </c>
      <c r="M22" s="15"/>
    </row>
    <row r="23" spans="1:13" x14ac:dyDescent="0.6">
      <c r="A23" s="14">
        <v>15</v>
      </c>
      <c r="B23" s="15" t="s">
        <v>48</v>
      </c>
      <c r="C23" s="16" t="s">
        <v>50</v>
      </c>
      <c r="D23" s="6" t="s">
        <v>5</v>
      </c>
      <c r="E23" s="14" t="s">
        <v>30</v>
      </c>
      <c r="F23" s="14">
        <v>1</v>
      </c>
      <c r="G23" s="17">
        <v>0</v>
      </c>
      <c r="H23" s="14">
        <f t="shared" si="0"/>
        <v>1</v>
      </c>
      <c r="I23" s="14" t="str">
        <f t="shared" si="1"/>
        <v>미출력</v>
      </c>
      <c r="J23" s="17"/>
      <c r="K23" s="18">
        <v>62.5</v>
      </c>
      <c r="L23" s="19">
        <f t="shared" si="2"/>
        <v>62.5</v>
      </c>
      <c r="M23" s="15"/>
    </row>
    <row r="24" spans="1:13" x14ac:dyDescent="0.6">
      <c r="A24" s="14">
        <v>16</v>
      </c>
      <c r="B24" s="15" t="s">
        <v>48</v>
      </c>
      <c r="C24" s="16" t="s">
        <v>51</v>
      </c>
      <c r="D24" s="6" t="s">
        <v>5</v>
      </c>
      <c r="E24" s="14" t="s">
        <v>30</v>
      </c>
      <c r="F24" s="14">
        <v>1</v>
      </c>
      <c r="G24" s="17">
        <v>0</v>
      </c>
      <c r="H24" s="14">
        <f t="shared" si="0"/>
        <v>1</v>
      </c>
      <c r="I24" s="14" t="str">
        <f t="shared" si="1"/>
        <v>미출력</v>
      </c>
      <c r="J24" s="17"/>
      <c r="K24" s="18">
        <v>57.3</v>
      </c>
      <c r="L24" s="19">
        <f t="shared" si="2"/>
        <v>57.3</v>
      </c>
      <c r="M24" s="15"/>
    </row>
    <row r="25" spans="1:13" x14ac:dyDescent="0.6">
      <c r="A25" s="14">
        <v>17</v>
      </c>
      <c r="B25" s="15" t="s">
        <v>48</v>
      </c>
      <c r="C25" s="21" t="s">
        <v>52</v>
      </c>
      <c r="D25" s="4" t="s">
        <v>3</v>
      </c>
      <c r="E25" s="14" t="s">
        <v>30</v>
      </c>
      <c r="F25" s="14">
        <v>1</v>
      </c>
      <c r="G25" s="17">
        <v>0</v>
      </c>
      <c r="H25" s="14">
        <f t="shared" si="0"/>
        <v>1</v>
      </c>
      <c r="I25" s="14" t="str">
        <f t="shared" si="1"/>
        <v>미출력</v>
      </c>
      <c r="J25" s="17"/>
      <c r="K25" s="18">
        <v>59.3</v>
      </c>
      <c r="L25" s="19">
        <f t="shared" si="2"/>
        <v>59.3</v>
      </c>
      <c r="M25" s="15"/>
    </row>
    <row r="26" spans="1:13" x14ac:dyDescent="0.6">
      <c r="A26" s="14">
        <v>18</v>
      </c>
      <c r="B26" s="15" t="s">
        <v>48</v>
      </c>
      <c r="C26" s="16" t="s">
        <v>53</v>
      </c>
      <c r="D26" s="6" t="s">
        <v>5</v>
      </c>
      <c r="E26" s="14" t="s">
        <v>30</v>
      </c>
      <c r="F26" s="14">
        <v>1</v>
      </c>
      <c r="G26" s="17">
        <v>0</v>
      </c>
      <c r="H26" s="14">
        <f t="shared" si="0"/>
        <v>1</v>
      </c>
      <c r="I26" s="14" t="str">
        <f t="shared" si="1"/>
        <v>미출력</v>
      </c>
      <c r="J26" s="17"/>
      <c r="K26" s="18">
        <v>62.5</v>
      </c>
      <c r="L26" s="19">
        <f t="shared" si="2"/>
        <v>62.5</v>
      </c>
      <c r="M26" s="15"/>
    </row>
    <row r="27" spans="1:13" x14ac:dyDescent="0.6">
      <c r="A27" s="14">
        <v>19</v>
      </c>
      <c r="B27" s="15" t="s">
        <v>48</v>
      </c>
      <c r="C27" s="21" t="s">
        <v>54</v>
      </c>
      <c r="D27" s="4" t="s">
        <v>3</v>
      </c>
      <c r="E27" s="14" t="s">
        <v>30</v>
      </c>
      <c r="F27" s="14">
        <v>1</v>
      </c>
      <c r="G27" s="17">
        <v>0</v>
      </c>
      <c r="H27" s="14">
        <f t="shared" si="0"/>
        <v>1</v>
      </c>
      <c r="I27" s="14" t="str">
        <f t="shared" si="1"/>
        <v>미출력</v>
      </c>
      <c r="J27" s="17"/>
      <c r="K27" s="18">
        <v>32.6</v>
      </c>
      <c r="L27" s="19">
        <f t="shared" si="2"/>
        <v>32.6</v>
      </c>
      <c r="M27" s="15"/>
    </row>
    <row r="28" spans="1:13" x14ac:dyDescent="0.6">
      <c r="A28" s="14">
        <v>20</v>
      </c>
      <c r="B28" s="15" t="s">
        <v>48</v>
      </c>
      <c r="C28" s="21" t="s">
        <v>55</v>
      </c>
      <c r="D28" s="4" t="s">
        <v>3</v>
      </c>
      <c r="E28" s="14" t="s">
        <v>30</v>
      </c>
      <c r="F28" s="14">
        <v>1</v>
      </c>
      <c r="G28" s="17">
        <v>0</v>
      </c>
      <c r="H28" s="14">
        <f t="shared" si="0"/>
        <v>1</v>
      </c>
      <c r="I28" s="14" t="str">
        <f t="shared" si="1"/>
        <v>미출력</v>
      </c>
      <c r="J28" s="17"/>
      <c r="K28" s="18">
        <v>13.6</v>
      </c>
      <c r="L28" s="19">
        <f t="shared" si="2"/>
        <v>13.6</v>
      </c>
      <c r="M28" s="15" t="s">
        <v>56</v>
      </c>
    </row>
    <row r="29" spans="1:13" x14ac:dyDescent="0.6">
      <c r="A29" s="14">
        <v>21</v>
      </c>
      <c r="B29" s="15" t="s">
        <v>57</v>
      </c>
      <c r="C29" s="16" t="s">
        <v>58</v>
      </c>
      <c r="D29" s="6" t="s">
        <v>5</v>
      </c>
      <c r="E29" s="14" t="s">
        <v>30</v>
      </c>
      <c r="F29" s="14">
        <v>1</v>
      </c>
      <c r="G29" s="17">
        <v>0</v>
      </c>
      <c r="H29" s="14">
        <f t="shared" si="0"/>
        <v>1</v>
      </c>
      <c r="I29" s="14" t="str">
        <f t="shared" si="1"/>
        <v>미출력</v>
      </c>
      <c r="J29" s="17"/>
      <c r="K29" s="18">
        <v>164.2</v>
      </c>
      <c r="L29" s="19">
        <f t="shared" si="2"/>
        <v>164.2</v>
      </c>
      <c r="M29" s="15" t="s">
        <v>59</v>
      </c>
    </row>
    <row r="30" spans="1:13" x14ac:dyDescent="0.6">
      <c r="A30" s="14">
        <v>22</v>
      </c>
      <c r="B30" s="15" t="s">
        <v>57</v>
      </c>
      <c r="C30" s="21" t="s">
        <v>60</v>
      </c>
      <c r="D30" s="4" t="s">
        <v>3</v>
      </c>
      <c r="E30" s="14" t="s">
        <v>30</v>
      </c>
      <c r="F30" s="14">
        <v>1</v>
      </c>
      <c r="G30" s="17">
        <v>0</v>
      </c>
      <c r="H30" s="14">
        <f t="shared" si="0"/>
        <v>1</v>
      </c>
      <c r="I30" s="14" t="str">
        <f t="shared" si="1"/>
        <v>미출력</v>
      </c>
      <c r="J30" s="17"/>
      <c r="K30" s="18">
        <v>56.9</v>
      </c>
      <c r="L30" s="19">
        <f t="shared" si="2"/>
        <v>56.9</v>
      </c>
      <c r="M30" s="15" t="s">
        <v>46</v>
      </c>
    </row>
    <row r="31" spans="1:13" x14ac:dyDescent="0.6">
      <c r="A31" s="14">
        <v>23</v>
      </c>
      <c r="B31" s="15" t="s">
        <v>57</v>
      </c>
      <c r="C31" s="21" t="s">
        <v>61</v>
      </c>
      <c r="D31" s="4" t="s">
        <v>3</v>
      </c>
      <c r="E31" s="14" t="s">
        <v>30</v>
      </c>
      <c r="F31" s="14">
        <v>2</v>
      </c>
      <c r="G31" s="17">
        <v>0</v>
      </c>
      <c r="H31" s="14">
        <f t="shared" si="0"/>
        <v>2</v>
      </c>
      <c r="I31" s="14" t="str">
        <f t="shared" si="1"/>
        <v>미출력</v>
      </c>
      <c r="J31" s="17"/>
      <c r="K31" s="18">
        <v>16.899999999999999</v>
      </c>
      <c r="L31" s="19">
        <f t="shared" si="2"/>
        <v>33.799999999999997</v>
      </c>
      <c r="M31" s="15" t="s">
        <v>62</v>
      </c>
    </row>
    <row r="32" spans="1:13" x14ac:dyDescent="0.6">
      <c r="A32" s="14">
        <v>24</v>
      </c>
      <c r="B32" s="15" t="s">
        <v>57</v>
      </c>
      <c r="C32" s="21" t="s">
        <v>63</v>
      </c>
      <c r="D32" s="4" t="s">
        <v>3</v>
      </c>
      <c r="E32" s="14" t="s">
        <v>30</v>
      </c>
      <c r="F32" s="14">
        <v>2</v>
      </c>
      <c r="G32" s="17">
        <v>0</v>
      </c>
      <c r="H32" s="14">
        <f t="shared" si="0"/>
        <v>2</v>
      </c>
      <c r="I32" s="14" t="str">
        <f t="shared" si="1"/>
        <v>미출력</v>
      </c>
      <c r="J32" s="17"/>
      <c r="K32" s="18">
        <v>11</v>
      </c>
      <c r="L32" s="19">
        <f t="shared" si="2"/>
        <v>22</v>
      </c>
      <c r="M32" s="15" t="s">
        <v>62</v>
      </c>
    </row>
    <row r="33" spans="1:13" x14ac:dyDescent="0.6">
      <c r="A33" s="14">
        <v>25</v>
      </c>
      <c r="B33" s="15" t="s">
        <v>57</v>
      </c>
      <c r="C33" s="21" t="s">
        <v>64</v>
      </c>
      <c r="D33" s="4" t="s">
        <v>3</v>
      </c>
      <c r="E33" s="14" t="s">
        <v>30</v>
      </c>
      <c r="F33" s="14">
        <v>1</v>
      </c>
      <c r="G33" s="17">
        <v>0</v>
      </c>
      <c r="H33" s="14">
        <f t="shared" si="0"/>
        <v>1</v>
      </c>
      <c r="I33" s="14" t="str">
        <f t="shared" si="1"/>
        <v>미출력</v>
      </c>
      <c r="J33" s="17"/>
      <c r="K33" s="18">
        <v>10.6</v>
      </c>
      <c r="L33" s="19">
        <f t="shared" si="2"/>
        <v>10.6</v>
      </c>
      <c r="M33" s="15" t="s">
        <v>56</v>
      </c>
    </row>
    <row r="34" spans="1:13" x14ac:dyDescent="0.6">
      <c r="A34" s="14">
        <v>26</v>
      </c>
      <c r="B34" s="15" t="s">
        <v>57</v>
      </c>
      <c r="C34" s="21" t="s">
        <v>65</v>
      </c>
      <c r="D34" s="4" t="s">
        <v>3</v>
      </c>
      <c r="E34" s="14" t="s">
        <v>30</v>
      </c>
      <c r="F34" s="14">
        <v>1</v>
      </c>
      <c r="G34" s="17">
        <v>0</v>
      </c>
      <c r="H34" s="14">
        <f t="shared" si="0"/>
        <v>1</v>
      </c>
      <c r="I34" s="14" t="str">
        <f t="shared" si="1"/>
        <v>미출력</v>
      </c>
      <c r="J34" s="17"/>
      <c r="K34" s="18">
        <v>5.4</v>
      </c>
      <c r="L34" s="19">
        <f t="shared" si="2"/>
        <v>5.4</v>
      </c>
      <c r="M34" s="15"/>
    </row>
    <row r="35" spans="1:13" x14ac:dyDescent="0.6">
      <c r="A35" s="14">
        <v>27</v>
      </c>
      <c r="B35" s="15" t="s">
        <v>57</v>
      </c>
      <c r="C35" s="21" t="s">
        <v>66</v>
      </c>
      <c r="D35" s="4" t="s">
        <v>3</v>
      </c>
      <c r="E35" s="14" t="s">
        <v>30</v>
      </c>
      <c r="F35" s="14">
        <v>1</v>
      </c>
      <c r="G35" s="17">
        <v>0</v>
      </c>
      <c r="H35" s="14">
        <f t="shared" si="0"/>
        <v>1</v>
      </c>
      <c r="I35" s="14" t="str">
        <f t="shared" si="1"/>
        <v>미출력</v>
      </c>
      <c r="J35" s="17"/>
      <c r="K35" s="18">
        <v>4.9000000000000004</v>
      </c>
      <c r="L35" s="19">
        <f t="shared" si="2"/>
        <v>4.9000000000000004</v>
      </c>
      <c r="M35" s="15"/>
    </row>
    <row r="36" spans="1:13" x14ac:dyDescent="0.6">
      <c r="A36" s="14">
        <v>28</v>
      </c>
      <c r="B36" s="15" t="s">
        <v>57</v>
      </c>
      <c r="C36" s="20" t="s">
        <v>67</v>
      </c>
      <c r="D36" s="5" t="s">
        <v>4</v>
      </c>
      <c r="E36" s="14" t="s">
        <v>30</v>
      </c>
      <c r="F36" s="14">
        <v>1</v>
      </c>
      <c r="G36" s="17">
        <v>0</v>
      </c>
      <c r="H36" s="14">
        <f t="shared" si="0"/>
        <v>1</v>
      </c>
      <c r="I36" s="14" t="str">
        <f t="shared" si="1"/>
        <v>미출력</v>
      </c>
      <c r="J36" s="17"/>
      <c r="K36" s="18">
        <v>3.4</v>
      </c>
      <c r="L36" s="19">
        <f t="shared" si="2"/>
        <v>3.4</v>
      </c>
      <c r="M36" s="15"/>
    </row>
    <row r="37" spans="1:13" x14ac:dyDescent="0.6">
      <c r="A37" s="14">
        <v>29</v>
      </c>
      <c r="B37" s="15" t="s">
        <v>57</v>
      </c>
      <c r="C37" s="20" t="s">
        <v>68</v>
      </c>
      <c r="D37" s="5" t="s">
        <v>4</v>
      </c>
      <c r="E37" s="14" t="s">
        <v>30</v>
      </c>
      <c r="F37" s="14">
        <v>1</v>
      </c>
      <c r="G37" s="17">
        <v>0</v>
      </c>
      <c r="H37" s="14">
        <f t="shared" si="0"/>
        <v>1</v>
      </c>
      <c r="I37" s="14" t="str">
        <f t="shared" si="1"/>
        <v>미출력</v>
      </c>
      <c r="J37" s="17"/>
      <c r="K37" s="18">
        <v>3.4</v>
      </c>
      <c r="L37" s="19">
        <f t="shared" si="2"/>
        <v>3.4</v>
      </c>
      <c r="M37" s="15"/>
    </row>
    <row r="38" spans="1:13" x14ac:dyDescent="0.6">
      <c r="A38" s="14">
        <v>30</v>
      </c>
      <c r="B38" s="15" t="s">
        <v>57</v>
      </c>
      <c r="C38" s="21" t="s">
        <v>69</v>
      </c>
      <c r="D38" s="4" t="s">
        <v>3</v>
      </c>
      <c r="E38" s="14" t="s">
        <v>30</v>
      </c>
      <c r="F38" s="14">
        <v>1</v>
      </c>
      <c r="G38" s="17">
        <v>0</v>
      </c>
      <c r="H38" s="14">
        <f t="shared" si="0"/>
        <v>1</v>
      </c>
      <c r="I38" s="14" t="str">
        <f t="shared" si="1"/>
        <v>미출력</v>
      </c>
      <c r="J38" s="17"/>
      <c r="K38" s="18">
        <v>4</v>
      </c>
      <c r="L38" s="19">
        <f t="shared" si="2"/>
        <v>4</v>
      </c>
      <c r="M38" s="15" t="s">
        <v>56</v>
      </c>
    </row>
    <row r="39" spans="1:13" x14ac:dyDescent="0.6">
      <c r="A39" s="14">
        <v>31</v>
      </c>
      <c r="B39" s="15" t="s">
        <v>57</v>
      </c>
      <c r="C39" s="21" t="s">
        <v>70</v>
      </c>
      <c r="D39" s="4" t="s">
        <v>3</v>
      </c>
      <c r="E39" s="14" t="s">
        <v>30</v>
      </c>
      <c r="F39" s="14">
        <v>1</v>
      </c>
      <c r="G39" s="17">
        <v>0</v>
      </c>
      <c r="H39" s="14">
        <f t="shared" si="0"/>
        <v>1</v>
      </c>
      <c r="I39" s="14" t="str">
        <f t="shared" si="1"/>
        <v>미출력</v>
      </c>
      <c r="J39" s="17"/>
      <c r="K39" s="18">
        <v>1.8</v>
      </c>
      <c r="L39" s="19">
        <f t="shared" si="2"/>
        <v>1.8</v>
      </c>
      <c r="M39" s="15" t="s">
        <v>56</v>
      </c>
    </row>
    <row r="40" spans="1:13" x14ac:dyDescent="0.6">
      <c r="A40" s="14">
        <v>32</v>
      </c>
      <c r="B40" s="15" t="s">
        <v>71</v>
      </c>
      <c r="C40" s="21" t="s">
        <v>72</v>
      </c>
      <c r="D40" s="4" t="s">
        <v>3</v>
      </c>
      <c r="E40" s="14" t="s">
        <v>30</v>
      </c>
      <c r="F40" s="14">
        <v>1</v>
      </c>
      <c r="G40" s="17">
        <v>0</v>
      </c>
      <c r="H40" s="14">
        <f t="shared" si="0"/>
        <v>1</v>
      </c>
      <c r="I40" s="14" t="str">
        <f t="shared" si="1"/>
        <v>미출력</v>
      </c>
      <c r="J40" s="17"/>
      <c r="K40" s="18">
        <v>7.5</v>
      </c>
      <c r="L40" s="19">
        <f t="shared" si="2"/>
        <v>7.5</v>
      </c>
      <c r="M40" s="15" t="s">
        <v>56</v>
      </c>
    </row>
    <row r="41" spans="1:13" x14ac:dyDescent="0.6">
      <c r="A41" s="14">
        <v>33</v>
      </c>
      <c r="B41" s="15" t="s">
        <v>71</v>
      </c>
      <c r="C41" s="21" t="s">
        <v>73</v>
      </c>
      <c r="D41" s="4" t="s">
        <v>3</v>
      </c>
      <c r="E41" s="14" t="s">
        <v>30</v>
      </c>
      <c r="F41" s="14">
        <v>1</v>
      </c>
      <c r="G41" s="17">
        <v>0</v>
      </c>
      <c r="H41" s="14">
        <f t="shared" si="0"/>
        <v>1</v>
      </c>
      <c r="I41" s="14" t="str">
        <f t="shared" si="1"/>
        <v>미출력</v>
      </c>
      <c r="J41" s="17"/>
      <c r="K41" s="18">
        <v>7.3</v>
      </c>
      <c r="L41" s="19">
        <f t="shared" si="2"/>
        <v>7.3</v>
      </c>
      <c r="M41" s="15" t="s">
        <v>56</v>
      </c>
    </row>
    <row r="42" spans="1:13" x14ac:dyDescent="0.6">
      <c r="A42" s="14">
        <v>34</v>
      </c>
      <c r="B42" s="15" t="s">
        <v>71</v>
      </c>
      <c r="C42" s="21" t="s">
        <v>74</v>
      </c>
      <c r="D42" s="4" t="s">
        <v>3</v>
      </c>
      <c r="E42" s="14" t="s">
        <v>30</v>
      </c>
      <c r="F42" s="14">
        <v>1</v>
      </c>
      <c r="G42" s="17">
        <v>0</v>
      </c>
      <c r="H42" s="14">
        <f t="shared" si="0"/>
        <v>1</v>
      </c>
      <c r="I42" s="14" t="str">
        <f t="shared" si="1"/>
        <v>미출력</v>
      </c>
      <c r="J42" s="17"/>
      <c r="K42" s="18">
        <v>2.2000000000000002</v>
      </c>
      <c r="L42" s="19">
        <f t="shared" si="2"/>
        <v>2.2000000000000002</v>
      </c>
      <c r="M42" s="15" t="s">
        <v>56</v>
      </c>
    </row>
    <row r="43" spans="1:13" x14ac:dyDescent="0.6">
      <c r="A43" s="14">
        <v>35</v>
      </c>
      <c r="B43" s="15" t="s">
        <v>71</v>
      </c>
      <c r="C43" s="16" t="s">
        <v>75</v>
      </c>
      <c r="D43" s="6" t="s">
        <v>5</v>
      </c>
      <c r="E43" s="14" t="s">
        <v>30</v>
      </c>
      <c r="F43" s="14">
        <v>1</v>
      </c>
      <c r="G43" s="17">
        <v>0</v>
      </c>
      <c r="H43" s="14">
        <f t="shared" si="0"/>
        <v>1</v>
      </c>
      <c r="I43" s="14" t="str">
        <f t="shared" si="1"/>
        <v>미출력</v>
      </c>
      <c r="J43" s="17"/>
      <c r="K43" s="18">
        <v>2.1</v>
      </c>
      <c r="L43" s="19">
        <f t="shared" si="2"/>
        <v>2.1</v>
      </c>
      <c r="M43" s="15" t="s">
        <v>76</v>
      </c>
    </row>
    <row r="44" spans="1:13" x14ac:dyDescent="0.6">
      <c r="A44" s="14">
        <v>36</v>
      </c>
      <c r="B44" s="15" t="s">
        <v>71</v>
      </c>
      <c r="C44" s="21" t="s">
        <v>77</v>
      </c>
      <c r="D44" s="4" t="s">
        <v>3</v>
      </c>
      <c r="E44" s="14" t="s">
        <v>30</v>
      </c>
      <c r="F44" s="14">
        <v>1</v>
      </c>
      <c r="G44" s="17">
        <v>0</v>
      </c>
      <c r="H44" s="14">
        <f t="shared" si="0"/>
        <v>1</v>
      </c>
      <c r="I44" s="14" t="str">
        <f t="shared" si="1"/>
        <v>미출력</v>
      </c>
      <c r="J44" s="17"/>
      <c r="K44" s="18">
        <v>2.2999999999999998</v>
      </c>
      <c r="L44" s="19">
        <f t="shared" si="2"/>
        <v>2.2999999999999998</v>
      </c>
      <c r="M44" s="15" t="s">
        <v>56</v>
      </c>
    </row>
  </sheetData>
  <autoFilter ref="A8:M44" xr:uid="{00000000-0009-0000-0000-000000000000}"/>
  <phoneticPr fontId="11" type="noConversion"/>
  <conditionalFormatting sqref="A9:B44 E9:M44">
    <cfRule type="expression" dxfId="2" priority="1">
      <formula>$I9="완료"</formula>
    </cfRule>
  </conditionalFormatting>
  <conditionalFormatting sqref="I9:I44">
    <cfRule type="expression" dxfId="1" priority="2">
      <formula>$I9="진행중"</formula>
    </cfRule>
    <cfRule type="expression" dxfId="0" priority="3">
      <formula>$I9="미출력"</formula>
    </cfRule>
  </conditionalFormatting>
  <dataValidations count="1">
    <dataValidation type="whole" showErrorMessage="1" errorTitle="수량 초과" error="0 이상, 필요 수량 이하로 입력하세요." sqref="G9:G44" xr:uid="{00000000-0002-0000-0000-000000000000}">
      <formula1>0</formula1>
      <formula2>F9</formula2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6.899999999999999" x14ac:dyDescent="0.6"/>
  <cols>
    <col min="1" max="1" width="14" customWidth="1"/>
    <col min="2" max="2" width="130" customWidth="1"/>
  </cols>
  <sheetData>
    <row r="1" spans="1:2" ht="20.65" x14ac:dyDescent="0.7">
      <c r="A1" s="1" t="s">
        <v>78</v>
      </c>
    </row>
    <row r="3" spans="1:2" x14ac:dyDescent="0.6">
      <c r="A3" s="3" t="s">
        <v>79</v>
      </c>
      <c r="B3" s="22" t="s">
        <v>80</v>
      </c>
    </row>
    <row r="4" spans="1:2" x14ac:dyDescent="0.6">
      <c r="A4" s="3" t="s">
        <v>81</v>
      </c>
      <c r="B4" s="22" t="s">
        <v>82</v>
      </c>
    </row>
    <row r="5" spans="1:2" x14ac:dyDescent="0.6">
      <c r="A5" s="3" t="s">
        <v>83</v>
      </c>
      <c r="B5" s="22" t="s">
        <v>84</v>
      </c>
    </row>
    <row r="6" spans="1:2" x14ac:dyDescent="0.6">
      <c r="A6" s="3" t="s">
        <v>18</v>
      </c>
      <c r="B6" s="22" t="s">
        <v>85</v>
      </c>
    </row>
    <row r="7" spans="1:2" x14ac:dyDescent="0.6">
      <c r="A7" s="3" t="s">
        <v>86</v>
      </c>
      <c r="B7" s="22" t="s">
        <v>87</v>
      </c>
    </row>
    <row r="8" spans="1:2" x14ac:dyDescent="0.6">
      <c r="A8" s="3" t="s">
        <v>88</v>
      </c>
      <c r="B8" s="22" t="s">
        <v>89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출력현황</vt:lpstr>
      <vt:lpstr>근거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소연 박</cp:lastModifiedBy>
  <dcterms:created xsi:type="dcterms:W3CDTF">2026-09-27T07:29:56Z</dcterms:created>
  <dcterms:modified xsi:type="dcterms:W3CDTF">2026-09-27T07:30:00Z</dcterms:modified>
</cp:coreProperties>
</file>
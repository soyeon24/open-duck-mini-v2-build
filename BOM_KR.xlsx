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school\2026_2\Microduck\"/>
    </mc:Choice>
  </mc:AlternateContent>
  <xr:revisionPtr revIDLastSave="0" documentId="13_ncr:1_{4E4E7459-FD59-4DF0-8D3E-014F980B0CAA}" xr6:coauthVersionLast="47" xr6:coauthVersionMax="47" xr10:uidLastSave="{00000000-0000-0000-0000-000000000000}"/>
  <bookViews>
    <workbookView xWindow="-98" yWindow="-98" windowWidth="21795" windowHeight="12975" activeTab="2" xr2:uid="{00000000-000D-0000-FFFF-FFFF00000000}"/>
  </bookViews>
  <sheets>
    <sheet name="설정" sheetId="1" r:id="rId1"/>
    <sheet name="발주" sheetId="2" r:id="rId2"/>
    <sheet name="bom링크" sheetId="4" r:id="rId3"/>
    <sheet name="업스트림원본" sheetId="3" r:id="rId4"/>
  </sheets>
  <definedNames>
    <definedName name="_xlnm._FilterDatabase" localSheetId="1" hidden="1">발주!$A$4:$J$39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5" i="4" l="1"/>
  <c r="F16" i="4"/>
  <c r="F10" i="4"/>
  <c r="F3" i="4"/>
  <c r="F4" i="4"/>
  <c r="F5" i="4"/>
  <c r="F6" i="4"/>
  <c r="F7" i="4"/>
  <c r="F9" i="4"/>
  <c r="F11" i="4"/>
  <c r="F12" i="4"/>
  <c r="F13" i="4"/>
  <c r="F14" i="4"/>
  <c r="F18" i="4"/>
  <c r="F19" i="4"/>
  <c r="F20" i="4"/>
  <c r="F21" i="4"/>
  <c r="F22" i="4"/>
  <c r="F24" i="4"/>
  <c r="F25" i="4"/>
  <c r="F26" i="4"/>
  <c r="F27" i="4"/>
  <c r="F28" i="4"/>
  <c r="F29" i="4"/>
  <c r="F30" i="4"/>
  <c r="F2" i="4"/>
  <c r="I46" i="2"/>
  <c r="G46" i="2"/>
  <c r="H46" i="2" s="1"/>
  <c r="I45" i="2"/>
  <c r="G45" i="2"/>
  <c r="H45" i="2" s="1"/>
  <c r="I44" i="2"/>
  <c r="G44" i="2"/>
  <c r="H44" i="2" s="1"/>
  <c r="I43" i="2"/>
  <c r="G43" i="2"/>
  <c r="H43" i="2" s="1"/>
  <c r="I42" i="2"/>
  <c r="I48" i="2" s="1"/>
  <c r="G42" i="2"/>
  <c r="G48" i="2" s="1"/>
  <c r="H48" i="2" s="1"/>
  <c r="G39" i="2"/>
  <c r="H39" i="2" s="1"/>
  <c r="G38" i="2"/>
  <c r="H38" i="2" s="1"/>
  <c r="H37" i="2"/>
  <c r="G37" i="2"/>
  <c r="G36" i="2"/>
  <c r="H36" i="2" s="1"/>
  <c r="G35" i="2"/>
  <c r="H35" i="2" s="1"/>
  <c r="G34" i="2"/>
  <c r="H34" i="2" s="1"/>
  <c r="G33" i="2"/>
  <c r="H33" i="2" s="1"/>
  <c r="G32" i="2"/>
  <c r="H32" i="2" s="1"/>
  <c r="G31" i="2"/>
  <c r="H31" i="2" s="1"/>
  <c r="G30" i="2"/>
  <c r="H30" i="2" s="1"/>
  <c r="H29" i="2"/>
  <c r="G29" i="2"/>
  <c r="G28" i="2"/>
  <c r="H28" i="2" s="1"/>
  <c r="G27" i="2"/>
  <c r="H27" i="2" s="1"/>
  <c r="G26" i="2"/>
  <c r="H26" i="2" s="1"/>
  <c r="G25" i="2"/>
  <c r="H25" i="2" s="1"/>
  <c r="G24" i="2"/>
  <c r="H24" i="2" s="1"/>
  <c r="G23" i="2"/>
  <c r="H23" i="2" s="1"/>
  <c r="G22" i="2"/>
  <c r="H22" i="2" s="1"/>
  <c r="H21" i="2"/>
  <c r="G21" i="2"/>
  <c r="G20" i="2"/>
  <c r="H20" i="2" s="1"/>
  <c r="G19" i="2"/>
  <c r="H19" i="2" s="1"/>
  <c r="G18" i="2"/>
  <c r="H18" i="2" s="1"/>
  <c r="G17" i="2"/>
  <c r="H17" i="2" s="1"/>
  <c r="G16" i="2"/>
  <c r="H16" i="2" s="1"/>
  <c r="G15" i="2"/>
  <c r="H15" i="2" s="1"/>
  <c r="G14" i="2"/>
  <c r="H14" i="2" s="1"/>
  <c r="H13" i="2"/>
  <c r="G13" i="2"/>
  <c r="G12" i="2"/>
  <c r="H12" i="2" s="1"/>
  <c r="G11" i="2"/>
  <c r="H11" i="2" s="1"/>
  <c r="G10" i="2"/>
  <c r="H10" i="2" s="1"/>
  <c r="G9" i="2"/>
  <c r="H9" i="2" s="1"/>
  <c r="G8" i="2"/>
  <c r="H8" i="2" s="1"/>
  <c r="G7" i="2"/>
  <c r="H7" i="2" s="1"/>
  <c r="G6" i="2"/>
  <c r="H6" i="2" s="1"/>
  <c r="H5" i="2"/>
  <c r="G5" i="2"/>
  <c r="F31" i="4" l="1"/>
  <c r="H42" i="2"/>
</calcChain>
</file>

<file path=xl/sharedStrings.xml><?xml version="1.0" encoding="utf-8"?>
<sst xmlns="http://schemas.openxmlformats.org/spreadsheetml/2006/main" count="384" uniqueCount="221">
  <si>
    <t>항목</t>
  </si>
  <si>
    <t>값</t>
  </si>
  <si>
    <t>출처 / 비고</t>
  </si>
  <si>
    <t>환율 EUR→KRW</t>
  </si>
  <si>
    <t>2026-09-13 기준. 이 칸만 고치면 전 시트 환산이 갱신된다</t>
  </si>
  <si>
    <t>작성일</t>
  </si>
  <si>
    <t>2026-09-13</t>
  </si>
  <si>
    <t>업스트림 시트</t>
  </si>
  <si>
    <t>docs.google.com/spreadsheets/d/1gq4iWWHEJVgAA_eemkTEsshXqrYlFxXAPwO515KpCJc</t>
  </si>
  <si>
    <t>2026-09-13 스냅샷. 시트는 살아 있어 바뀔 수 있음</t>
  </si>
  <si>
    <t>판단 근거 문서</t>
  </si>
  <si>
    <t>BOM.md</t>
  </si>
  <si>
    <t>절 번호는 '근거' 열 참조</t>
  </si>
  <si>
    <t>전류 실측</t>
  </si>
  <si>
    <t>ubai/current_probe.py</t>
  </si>
  <si>
    <t>보행 평균 13.5A / 정지 8.1A — BMS·스위치·커넥터 정격의 근거</t>
  </si>
  <si>
    <t>Open Duck Mini v2 — 발주 워크시트 (한국 기준 환산)</t>
  </si>
  <si>
    <t>업스트림 BOM 시트(2026-09-13 스냅샷)를 한국 조달 기준으로 옮긴 것. 단가는 업스트림 € 표기 그대로이고, 환산(₩)은 설정!B2 환율을 쓴 참고값이다 — 알리는 보통 이보다 싸다. 노란 칸(실구매가)에 실제 결제액을 채워 넣는다.</t>
  </si>
  <si>
    <t>구분</t>
  </si>
  <si>
    <t>품목</t>
  </si>
  <si>
    <t>수량</t>
  </si>
  <si>
    <t>검색어 · 반드시 확인할 사양</t>
  </si>
  <si>
    <t>판정</t>
  </si>
  <si>
    <t>업스트림 단가(€)</t>
  </si>
  <si>
    <t>업스트림 합계(€)</t>
  </si>
  <si>
    <t>환산(₩)</t>
  </si>
  <si>
    <t>실구매가(₩)</t>
  </si>
  <si>
    <t>근거</t>
  </si>
  <si>
    <t>Wave1 알리</t>
  </si>
  <si>
    <t>Feetech STS3215 서보</t>
  </si>
  <si>
    <t>STS3215 7.4V 19kg — ⚠️ 7.4V·19kg·cm 둘 다 표기된 것. ST3215(12V) 아님</t>
  </si>
  <si>
    <t>그대로</t>
  </si>
  <si>
    <t>§1</t>
  </si>
  <si>
    <t>Feetech FE-URT-1 서보 어댑터</t>
  </si>
  <si>
    <t>FE-URT-1 — 서보와 같은 스토어 묶음 가능. CH340 칩</t>
  </si>
  <si>
    <t>변경</t>
  </si>
  <si>
    <t>§2.2</t>
  </si>
  <si>
    <t>BNO055 9-DOF IMU</t>
  </si>
  <si>
    <t>BNO055 9DOF — 저가품은 MPU 계열 클론 주의</t>
  </si>
  <si>
    <t>§10</t>
  </si>
  <si>
    <t>마이크로 스위치 SS-10</t>
  </si>
  <si>
    <t>SS-10GL micro switch (10개입) — 발 접지 감지</t>
  </si>
  <si>
    <t>SG90 9g 서보</t>
  </si>
  <si>
    <t>SG90 9g servo — 안테나(귀) 구동</t>
  </si>
  <si>
    <t>626ZZ 베어링</t>
  </si>
  <si>
    <t>626ZZ bearing 6x19x6 — ⚠️ 608ZZ 아님. 10개입 권장</t>
  </si>
  <si>
    <t>M3 열삽입 인서트</t>
  </si>
  <si>
    <t>M3 brass heat set insert — M3×5×4 계열, 100개입</t>
  </si>
  <si>
    <t>M3 나사 세트</t>
  </si>
  <si>
    <t>M3 hex socket screw kit — 6/8/10/12/16mm 혼합</t>
  </si>
  <si>
    <t>추가</t>
  </si>
  <si>
    <t>§3</t>
  </si>
  <si>
    <t>2S BMS</t>
  </si>
  <si>
    <t>2S BMS 18650 8.4V 20A — ⚠️ 정격 20A 이상 (10A 짜리 5개입 주의)</t>
  </si>
  <si>
    <t>§2.3</t>
  </si>
  <si>
    <t>5V UBEC (레귤레이터)</t>
  </si>
  <si>
    <t>5V 3A UBEC — Pi+SG90+로직 전용. ⛔ 서보 전원으로 쓰지 말 것</t>
  </si>
  <si>
    <t>§2.5</t>
  </si>
  <si>
    <t>18650 2구 홀더</t>
  </si>
  <si>
    <t>18650 2 slot holder — ⚠️ 양단 스프링, 풋프린트 ≤50×85mm</t>
  </si>
  <si>
    <t>§2.1</t>
  </si>
  <si>
    <t>XT30 커넥터 (10쌍 세트)</t>
  </si>
  <si>
    <t>XT30 connector pair — 암1+수2 사용(배터리·파워서플라이). 배럴잭 대체</t>
  </si>
  <si>
    <t>소형 전원 스위치</t>
  </si>
  <si>
    <t>mini rocker switch — ⚠️ 정격 15A 이상</t>
  </si>
  <si>
    <t>§2.4</t>
  </si>
  <si>
    <t>micro-USB↔USB-C 케이블 15cm</t>
  </si>
  <si>
    <t>micro-USB↔USB-C 케이블 50cm</t>
  </si>
  <si>
    <t>케이블 슬리브(사복관)</t>
  </si>
  <si>
    <t>cable sleeve braided</t>
  </si>
  <si>
    <t>피아노선 Ø1.5~2mm×150mm + 비즈</t>
  </si>
  <si>
    <t>안테나 대체품 — antenna.stl 은 FDM 출력 불가</t>
  </si>
  <si>
    <t>Raspberry Pi Zero 2W</t>
  </si>
  <si>
    <t>⚠️ 가품·핀헤더 확인. 품절/의심이면 국내로</t>
  </si>
  <si>
    <t>§2</t>
  </si>
  <si>
    <t>Wave2 국내</t>
  </si>
  <si>
    <t>18650 셀 (삼성SDI 30Q)</t>
  </si>
  <si>
    <t>삼성SDI 30Q — ⚠️ 비보호 플랫탑 · 제목에 '삼성SDI' + '15A' + KC. ⛔ 항공제한으로 국내 강제, 같은 배치 2개 한 번에</t>
  </si>
  <si>
    <t>microSD 32GB+</t>
  </si>
  <si>
    <t>⚠️ 알리 용량 위조 흔함 → 국내 정품. 설치 후 raspi-config 로 파일시스템 확장</t>
  </si>
  <si>
    <t>§4</t>
  </si>
  <si>
    <t>18650 충전기 (2구 이상)</t>
  </si>
  <si>
    <t>슬롯별 독립 · 리튬이온 4.2V · 0.5~1A. 업스트림 USB-C 모듈 대체</t>
  </si>
  <si>
    <t>대체</t>
  </si>
  <si>
    <t>§4.1</t>
  </si>
  <si>
    <t>출력 외주</t>
  </si>
  <si>
    <t>JLC3DP SLS 3201PA-F (15종 26개)</t>
  </si>
  <si>
    <t>257cm³ × $0.18/g ≈ $46. 얇은 판재 — FDM 최소크기 미달분</t>
  </si>
  <si>
    <t>§5</t>
  </si>
  <si>
    <t>JLC3DP FDM PLA (20종)</t>
  </si>
  <si>
    <t>head/body_*/trunk_*/foot_top/foot_side 등. ⚠️ Instant Quote 필요</t>
  </si>
  <si>
    <t>JLC3DP FDM TPU (foot_bottom_tpu ×2)</t>
  </si>
  <si>
    <t>⚠️ Z 8mm 로 최소치 미달 — 형상 보정 필요</t>
  </si>
  <si>
    <t>선택</t>
  </si>
  <si>
    <t>Xbox One 컨트롤러</t>
  </si>
  <si>
    <t>런타임 기본 조종 입력. 명령 7채널이 0이면 제자리에 서 있음</t>
  </si>
  <si>
    <t>§7</t>
  </si>
  <si>
    <t>표정 패키지 (스피커·앰프·LED·디퓨저·리플렉터)</t>
  </si>
  <si>
    <t>⚠️ 시트 단가는 분할단가. 실구매 = 스피커6+리플렉터2+LED10+디퓨저10+앰프10</t>
  </si>
  <si>
    <t>XIAO ESP32S3 Sense</t>
  </si>
  <si>
    <t>비전용(~$14). Wave1 에 끼워도 배송 안 바뀜 → 일정 위험 0</t>
  </si>
  <si>
    <t>여분 18650 셀 2개</t>
  </si>
  <si>
    <t>벤치 전원 대신 팩 2벌 운용 — 파워서플라이(10만원대)보다 훨씬 쌈</t>
  </si>
  <si>
    <t>제외</t>
  </si>
  <si>
    <t>2.1mm 배럴잭 ×2</t>
  </si>
  <si>
    <t>⛔ 3~5A 정격이라 실측 13.5A 를 못 흘린다 → XT30 으로 통일</t>
  </si>
  <si>
    <t>삭제</t>
  </si>
  <si>
    <t>USB-C 2S 충전 모듈</t>
  </si>
  <si>
    <t>⛔ 밸런싱 없음. 밑의 2S PCM 도 없어서 셀 편차를 잡는 곳이 체인에 없다</t>
  </si>
  <si>
    <t>Waveshare 서보 컨트롤 보드</t>
  </si>
  <si>
    <t>⛔ 입력 9~12.6V, 호환목록에 STS3215 없음 → FE-URT-1 로 대체</t>
  </si>
  <si>
    <t>마이크</t>
  </si>
  <si>
    <t>⛔ 런타임에 오디오 입력 코드가 0개. 시트 주석도 '아직 통합 안 됨'</t>
  </si>
  <si>
    <t>Raspberry Pi 카메라</t>
  </si>
  <si>
    <t>⛔ 시트 주석 '아직 통합 안 됨'. camera.py 는 import 조차 안 되는 죽은 코드</t>
  </si>
  <si>
    <t>PLA 필라멘트</t>
  </si>
  <si>
    <t>⛔ 출력을 JLC3DP 외주로 돌리므로 불필요</t>
  </si>
  <si>
    <t>TPU 필라멘트</t>
  </si>
  <si>
    <t>⛔ 동일</t>
  </si>
  <si>
    <t>구분별 합계</t>
  </si>
  <si>
    <t>Wave 1 — 알리익스프레스 (오늘 발주, 2~4주)</t>
  </si>
  <si>
    <t>Wave 2 — 국내 (이번 주, 1~3일)</t>
  </si>
  <si>
    <t>Wave 3 — JLC3DP 출력 외주</t>
  </si>
  <si>
    <t>선택 — 나중에 사도 되는 것</t>
  </si>
  <si>
    <t>⛔ 제외 — 사지 않는 것 (아낀 금액)</t>
  </si>
  <si>
    <t>■ 지금 발주 합계 (Wave 1+2+3, 선택·제외 빼고)</t>
  </si>
  <si>
    <t>환산(₩) 은 업스트림 € × 설정!B2 환율이다. 실제 알리 가격은 보통 이보다 싸므로 상한으로 본다.</t>
  </si>
  <si>
    <t>출력 외주 SLS $46 만 € 로 환산해 넣었다. FDM PLA·TPU 는 JLC3DP Instant Quote 로 확인해야 한다.</t>
  </si>
  <si>
    <t>⚠️ 위 합계에 배송비·관부가세가 빠져 있다. 알리 한 건이 $150 을 넘으므로 개인통관고유부호 필요, 10만원 안팎 여유를 잡을 것.</t>
  </si>
  <si>
    <t>⚠️ 같은 날 도착한 여러 건은 합산 과세된다 — 주문을 쪼개도 소용없다.</t>
  </si>
  <si>
    <t>판정: 그대로=업스트림대로 · 변경=사양 수정 · 추가=업스트림에 없던 것 · 대체=다른 물건으로 · 삭제=안 삼</t>
  </si>
  <si>
    <t>섹션</t>
  </si>
  <si>
    <t>부품</t>
  </si>
  <si>
    <t>단가(€)</t>
  </si>
  <si>
    <t>합계(€)</t>
  </si>
  <si>
    <t>링크</t>
  </si>
  <si>
    <t>시트 주석</t>
  </si>
  <si>
    <t>전원</t>
  </si>
  <si>
    <t>18650 셀 (Molicel INR18650-P30B)</t>
  </si>
  <si>
    <t>nkon.nl</t>
  </si>
  <si>
    <t>가장 빵빵한 걸로. 나는 3000mAh / 30A</t>
  </si>
  <si>
    <t>18650 홀더</t>
  </si>
  <si>
    <t>amazon.fr</t>
  </si>
  <si>
    <t>shorturl.at</t>
  </si>
  <si>
    <t>5V 레귤레이터</t>
  </si>
  <si>
    <t>alibaba.com</t>
  </si>
  <si>
    <t>하나만 필요</t>
  </si>
  <si>
    <t>USB-C 충전기</t>
  </si>
  <si>
    <t>2.1mm 배럴잭</t>
  </si>
  <si>
    <t>두 개 필요</t>
  </si>
  <si>
    <t>XT30</t>
  </si>
  <si>
    <t>한 쌍만 필요하지만 낱개 구매가 어려움</t>
  </si>
  <si>
    <t>서보·제어·센서</t>
  </si>
  <si>
    <t>Feetech STS3215 (7.4V)</t>
  </si>
  <si>
    <t>반드시 7.4V, 별칭 19kg.cm</t>
  </si>
  <si>
    <t>IMU BNO055</t>
  </si>
  <si>
    <t>더 싼 대안 필요. 알리에 1달러짜리 봄</t>
  </si>
  <si>
    <t>t.ly</t>
  </si>
  <si>
    <t>SD 카드</t>
  </si>
  <si>
    <t>더 싸게 구할 수 있음</t>
  </si>
  <si>
    <t>서보 컨트롤 보드</t>
  </si>
  <si>
    <t>waveshare.com</t>
  </si>
  <si>
    <t>발 접점 스위치 SS-10</t>
  </si>
  <si>
    <t>aliexpress.fr</t>
  </si>
  <si>
    <t>9g 서보</t>
  </si>
  <si>
    <t>기타</t>
  </si>
  <si>
    <t>이미 있으면 무료</t>
  </si>
  <si>
    <t>발바닥용, 비용 무시 가능</t>
  </si>
  <si>
    <t>케이블 슬리브</t>
  </si>
  <si>
    <t>micro-USB↔USB-C 15cm</t>
  </si>
  <si>
    <t>micro-USB↔USB-C 50cm</t>
  </si>
  <si>
    <t>베어링</t>
  </si>
  <si>
    <t>표정(선택)</t>
  </si>
  <si>
    <t>프로젝터 리플렉터</t>
  </si>
  <si>
    <t>스피커</t>
  </si>
  <si>
    <t>LED (눈·프로젝터)</t>
  </si>
  <si>
    <t>50개를 ~10€ 에 사야 함</t>
  </si>
  <si>
    <t>너무 비쌈 (아직 통합 안 됨)</t>
  </si>
  <si>
    <t>아이 디퓨저</t>
  </si>
  <si>
    <t>60개를 ~10€ 에 사야 함</t>
  </si>
  <si>
    <t>앰프</t>
  </si>
  <si>
    <t>2개를 ~10€ 에 사야 함</t>
  </si>
  <si>
    <t>아직 통합 안 됨</t>
  </si>
  <si>
    <t>시트 표기 합계: 기본 398.1€ (최저가 331.1€) / 표정 포함 432.34€</t>
  </si>
  <si>
    <t>검산: 전원 51.87 + 서보 287.74 + 기타 58.49 = 398.10 ✓ (시트의 전원·기타 소계 칸은 행 합과 어긋나지만 총계는 맞음 → 행 수치를 신뢰)</t>
  </si>
  <si>
    <t>개수</t>
    <phoneticPr fontId="19" type="noConversion"/>
  </si>
  <si>
    <t>개당 가격</t>
    <phoneticPr fontId="19" type="noConversion"/>
  </si>
  <si>
    <t>총가격</t>
    <phoneticPr fontId="19" type="noConversion"/>
  </si>
  <si>
    <t>비고</t>
    <phoneticPr fontId="19" type="noConversion"/>
  </si>
  <si>
    <t>알리바바2개 추가 구매</t>
    <phoneticPr fontId="19" type="noConversion"/>
  </si>
  <si>
    <t>구하기 힘듦</t>
    <phoneticPr fontId="19" type="noConversion"/>
  </si>
  <si>
    <t>쿠팡와우 배송비</t>
    <phoneticPr fontId="19" type="noConversion"/>
  </si>
  <si>
    <t>https://www.coupang.com/vp/products/29584980?itemId=113174421&amp;vendorItemId=70805744236&amp;src=1032034&amp;spec=10305199&amp;addtag=400&amp;ctag=29584980&amp;lptag=V70805744236&amp;itime=20260914000034&amp;pageType=PRODUCT&amp;pageValue=29584980&amp;wPcid=17893105135136394208605&amp;wRef=prod.danawa.com&amp;wTime=20260914000034&amp;redirect=landing&amp;mcid=b2ef12544a31492faa7e56527c42c343</t>
  </si>
  <si>
    <t>배송비 따로</t>
    <phoneticPr fontId="19" type="noConversion"/>
  </si>
  <si>
    <t>https://ko.aliexpress.com/item/1005012422810015.html?spm=a2g0o.productlist.main.2.9bdfNESbNESb3k&amp;algo_pvid=193551a3-c3db-4df1-ae53-932f6e2682e4&amp;algo_exp_id=193551a3-c3db-4df1-ae53-932f6e2682e4-1&amp;pdp_ext_f=%7B%22order%22%3A%2247%22%2C%22eval%22%3A%221%22%2C%22fromPage%22%3A%22search%22%7D&amp;pdp_npi=6%40dis%21KRW%2112230%218452%21%21%2159.16%2140.89%21%40214131cd17893118527064026e0db1%2112000058318563317%21sea%21KR%218166665694%21ABX%211%210%21n_tag%3A-29910%3Bd%3A6e0fef8a%3Bm03_new_user%3A-29895%3BpisId%3A5000000217075891&amp;curPageLogUid=qd6xt0pARPXm&amp;utparam-url=scene%3Asearch%7Cquery_from%3A%7Cx_object_id%3A1005012422810015%7C_p_origin_prod%3A</t>
    <phoneticPr fontId="19" type="noConversion"/>
  </si>
  <si>
    <t>2개 예비</t>
    <phoneticPr fontId="19" type="noConversion"/>
  </si>
  <si>
    <t>https://ko.aliexpress.com/item/1005012556957081.html?spm=a2g0o.cart.0.0.f0685ea2WtV3At&amp;mp=1&amp;pdp_npi=6%40dis%21KRW%21KRW+31364%21KRW+13800%21%21KRW+13800%21%21%21%402102ef5e17893131522141579e0e12%2112000058694173047%21ct%21KR%218166665694%21%211%210%21&amp;gatewayAdapt=glo2kor</t>
  </si>
  <si>
    <t>https://ko.aliexpress.com/item/1005009049556408.html?spm=a2g0o.cart.0.0.6e405ea24xWlaj&amp;mp=1&amp;pdp_npi=6%40dis%21KRW%21KRW%203324%21KRW%201500%21%21KRW%201500%21%21%21%40210178d717893124779647521e0ed3%2112000047711627686%21ct%21KR%218166665694%21%211%210%21&amp;gatewayAdapt=glo2kor</t>
  </si>
  <si>
    <t>2종류 스위치</t>
    <phoneticPr fontId="19" type="noConversion"/>
  </si>
  <si>
    <t>완</t>
    <phoneticPr fontId="19" type="noConversion"/>
  </si>
  <si>
    <t>https://ko.aliexpress.com/item/1005012351469865.html?spm=a2g0o.cart.0.0.77c45ea2LAVLuG&amp;mp=1&amp;pdp_npi=6%40dis%21KRW%21KRW+8089%21KRW+3640%21%21KRW+3640%21%21%21%400be71e1e17893136155816780e0c7b%2112000058147347073%21ct%21KR%218166665694%21%211%210%21&amp;gatewayAdapt=glo2kor</t>
  </si>
  <si>
    <t>있음</t>
    <phoneticPr fontId="19" type="noConversion"/>
  </si>
  <si>
    <t>https://ko.aliexpress.com/item/1005008045270070.html?spm=a2g0o.productlist.main.5.3bb6w3scw3sc14&amp;algo_pvid=954f1409-078c-43e8-9525-3b33cf9e4726&amp;algo_exp_id=954f1409-078c-43e8-9525-3b33cf9e4726-4&amp;pdp_ext_f=%7B%22order%22%3A%22248%22%2C%22eval%22%3A%221%22%2C%22fromPage%22%3A%22search%22%7D&amp;pdp_npi=6%40dis%21KRW%213907%211500%21%21%2118.90%217.25%21%402140ec2d17893144675913650e0e25%2112000043407119266%21sea%21KR%218166665694%21ABX%211%210%21n_tag%3A-29910%3Bd%3A6e0fef8a%3Bm03_new_user%3A-29895%3BpisId%3A5000000217075891&amp;curPageLogUid=U8DliTo0Afgh&amp;utparam-url=scene%3Asearch%7Cquery_from%3A%7Cx_object_id%3A1005008045270070%7C_p_origin_prod%3A</t>
  </si>
  <si>
    <t>https://ko.aliexpress.com/item/1005009420262174.html?spm=a2g0o.cart.0.0.31185ea2yYj8Kt&amp;mp=1&amp;pdp_npi=6%40dis%21KRW%21KRW+26768%21KRW+11575%21%21KRW+11575%21%21%21%40212a6df517893153126563246e0fda%2112000049436758291%21ct%21KR%218166665694%21%211%210%21&amp;gatewayAdapt=glo2kor</t>
  </si>
  <si>
    <t>3개 여분</t>
    <phoneticPr fontId="19" type="noConversion"/>
  </si>
  <si>
    <t>왜 해외 안됨? 클로드 피셜</t>
    <phoneticPr fontId="19" type="noConversion"/>
  </si>
  <si>
    <t>https://kr.store.bambulab.com/products/pla-basic-filament?id=565422076437794836</t>
  </si>
  <si>
    <t>https://www.aliexpress.com/ssr/300000512/kr2024update?spm=a2g0o.productlist.main.1.c1cbAiv4Aiv4hE&amp;productIds=1005007995311296%3A12000043196473113&amp;pha_manifest=ssr&amp;_immersiveMode=true&amp;disableNav=YES&amp;sourceName=SEARCHProduct&amp;utparam-url=scene%3Asearch%7Cquery_from%3A%7Cx_object_id%3A1005007995311296%7C_p_origin_prod%3A&amp;pvid=20265dd5-c941-4ad4-93f1-c6ad99c7ea0b&amp;_gl=1*1lcyaza*_gcl_aw*R0NMLjE3ODkxMzMxODQuQ2owS0NRand6WTdWQmhEd0FSSXNBRnRQdkJUUFBralFPY3JlODBXb3pNMms4UkRRQzY2b0JadGZRajk4NndVMUVrbVB4cnBoMDkyN3E0c2FBbmJlRUFMd193Y0I.*_gcl_dc*R0NMLjE3ODkxMzMxODQuQ2owS0NRand6WTdWQmhEd0FSSXNBRnRQdkJUUFBralFPY3JlODBXb3pNMms4UkRRQzY2b0JadGZRajk4NndVMUVrbVB4cnBoMDkyN3E0c2FBbmJlRUFMd193Y0I.*_gcl_au*MTczMTUyODg0OS4xNzg5MDQ1MDI5*_ga*MTcwNzgwNjEuMTc4OTA0NTAyOQ..*_ga_VED1YSGNC7*czE3ODkzNDMyMDckbzYkZzEkdDE3ODkzNDMyMTIkajU1JGwwJGgw</t>
  </si>
  <si>
    <t>https://ko.aliexpress.com/item/1005008842742388.html?spm=a2g0o.productlist.main.1.49d8p05bp05bPf&amp;algo_pvid=e9d7f3f8-cd26-4a6f-8976-503291bc9f92&amp;algo_exp_id=e9d7f3f8-cd26-4a6f-8976-503291bc9f92-0&amp;pdp_ext_f=%7B%22order%22%3A%22264%22%2C%22eval%22%3A%221%22%2C%22fromPage%22%3A%22search%22%7D&amp;pdp_npi=6%40dis%21KRW%218842%218500%21%21%2142.77%2141.11%21%402141147417893120301441213e0ec6%2112000057223247889%21sea%21KR%218166665694%21ABX%211%210%21n_tag%3A-29910%3Bd%3A6e0fef8a%3Bm03_new_user%3A-29895&amp;curPageLogUid=QswbvQzV7RA7&amp;utparam-url=scene%3Asearch%7Cquery_from%3A%7Cx_object_id%3A1005008842742388%7C_p_origin_prod%3A</t>
    <phoneticPr fontId="19" type="noConversion"/>
  </si>
  <si>
    <t>https://www.aliexpress.com/ssr/300000512/kr2024update?spm=a2g0o.productlist.main.1.638czRe6zRe6w4&amp;productIds=1005009225198466%3A12000048380333444&amp;pha_manifest=ssr&amp;_immersiveMode=true&amp;disableNav=YES&amp;sourceName=SEARCHProduct&amp;utparam-url=scene%3Asearch%7Cquery_from%3A%7Cx_object_id%3A1005009225198466%7C_p_origin_prod%3A&amp;pvid=f7c9a41b-050f-49e3-853f-9857a1fb0291&amp;_gl=1*1si3d74*_gcl_aw*R0NMLjE3ODkxMzMxODQuQ2owS0NRand6WTdWQmhEd0FSSXNBRnRQdkJUUFBralFPY3JlODBXb3pNMms4UkRRQzY2b0JadGZRajk4NndVMUVrbVB4cnBoMDkyN3E0c2FBbmJlRUFMd193Y0I.*_gcl_dc*R0NMLjE3ODkxMzMxODQuQ2owS0NRand6WTdWQmhEd0FSSXNBRnRQdkJUUFBralFPY3JlODBXb3pNMms4UkRRQzY2b0JadGZRajk4NndVMUVrbVB4cnBoMDkyN3E0c2FBbmJlRUFMd193Y0I.*_gcl_au*MTczMTUyODg0OS4xNzg5MDQ1MDI5*_ga*MTcwNzgwNjEuMTc4OTA0NTAyOQ..*_ga_VED1YSGNC7*czE3ODkzNDc4OTgkbzckZzEkdDE3ODkzNDc5MTIkajQ2JGwwJGgw</t>
  </si>
  <si>
    <t>1개 사서 반 자르면 됨</t>
    <phoneticPr fontId="19" type="noConversion"/>
  </si>
  <si>
    <t>https://ko.aliexpress.com/item/1005012432601159.html?spm=a2g0o.cart.0.0.43485ea2IKZauB&amp;mp=1&amp;pdp_npi=6%40dis%21KRW%21KRW%203448%21KRW%203240%21%21KRW%203240%21%21%21%40212a6df517893153370553915e0fda%2112000058362683244%21ct%21KR%218166665694%21%211%210%21&amp;gatewayAdapt=glo2kor</t>
    <phoneticPr fontId="19" type="noConversion"/>
  </si>
  <si>
    <t>https://www.alibaba.com/product-detail/Low-Cost-Feetech-STS3215-Servo-7_1601611431055.html?spm=a2700.prosearch.normal_offer.d_image.353667afKTd0Xq&amp;selectedCarrierCode=SEMI_MANAGED_ECONOMIC%40%40ECONOMY&amp;priceId=67301407777347eca97c467d2b885f68</t>
    <phoneticPr fontId="19" type="noConversion"/>
  </si>
  <si>
    <r>
      <rPr>
        <sz val="10"/>
        <color rgb="FF000000"/>
        <rFont val="맑은 고딕"/>
        <family val="3"/>
        <charset val="129"/>
      </rPr>
      <t>아이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디퓨저</t>
    </r>
    <phoneticPr fontId="19" type="noConversion"/>
  </si>
  <si>
    <t>왜 해외 안됨? 클로드 피셜아무튼 미룸</t>
    <phoneticPr fontId="19" type="noConversion"/>
  </si>
  <si>
    <t>https://ko.aliexpress.com/item/1005004328211697.html?spm=a2g0o.productlist.main.4.7907SrdzSrdz01&amp;algo_pvid=6d68a95a-dc7b-4738-b129-940ca0a47f6b&amp;algo_exp_id=6d68a95a-dc7b-4738-b129-940ca0a47f6b-3&amp;pdp_ext_f=%7B%22order%22%3A%2238%22%2C%22spu_best_type%22%3A%22price%22%2C%22eval%22%3A%221%22%2C%22fromPage%22%3A%22search%22%7D&amp;pdp_npi=6%40dis%21KRW%216512%216140%21%21%2131.55%2129.75%21%400b14ce1917893621951035355e1347%2112000028772990035%21sea%21KR%218166665694%21ABX%211%210%21n_tag%3A-29910%3Bd%3A6e0fef8a%3Bm03_new_user%3A-29895&amp;curPageLogUid=gHUf68BYGOBK&amp;utparam-url=scene%3Asearch%7Cquery_from%3A%7Cx_object_id%3A1005004328211697%7C_p_origin_prod%3A</t>
  </si>
  <si>
    <t>5개짜리</t>
    <phoneticPr fontId="19" type="noConversion"/>
  </si>
  <si>
    <t>https://ko.aliexpress.com/item/1005010448843241.html?spm=a2g0o.productlist.main.5.5a936dd1CB709t&amp;algo_pvid=072503f4-2588-4ee5-a8de-0f1dc37106f5&amp;algo_exp_id=072503f4-2588-4ee5-a8de-0f1dc37106f5-4&amp;pdp_ext_f=%7B%22order%22%3A%22158%22%2C%22eval%22%3A%221%22%2C%22fromPage%22%3A%22search%22%7D&amp;pdp_npi=6%40dis%21KRW%216110%211500%21%21%2129.60%217.27%21%402102eb1417893625896023956e0d2c%2112000052446292744%21sea%21KR%218166665694%21ABX%211%210%21n_tag%3A-29910%3Bd%3A6e0fef8a%3Bm03_new_user%3A-29895%3BpisId%3A5000000217075891&amp;curPageLogUid=b68vUd83AUed&amp;utparam-url=scene%3Asearch%7Cquery_from%3A%7Cx_object_id%3A1005010448843241%7C_p_origin_prod%3A</t>
  </si>
  <si>
    <t>https://app.eyecontact.kr/my-page?section=orders</t>
  </si>
  <si>
    <t>2개 3d 맡기기</t>
    <phoneticPr fontId="19" type="noConversion"/>
  </si>
  <si>
    <t>https://www.coupang.com/vp/products/9676374699?vendorItemId=95864602021&amp;sourceType=CART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</si>
</sst>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맑은 고딕"/>
      <family val="2"/>
      <scheme val="minor"/>
    </font>
    <font>
      <b/>
      <sz val="11"/>
      <color rgb="FF0000FF"/>
      <name val="Arial"/>
    </font>
    <font>
      <b/>
      <sz val="11"/>
      <name val="Arial"/>
    </font>
    <font>
      <sz val="11"/>
      <name val="Arial"/>
    </font>
    <font>
      <b/>
      <sz val="14"/>
      <name val="Arial"/>
    </font>
    <font>
      <i/>
      <sz val="9"/>
      <color rgb="FF666666"/>
      <name val="Arial"/>
    </font>
    <font>
      <b/>
      <sz val="11"/>
      <color rgb="FFFFFFFF"/>
      <name val="Arial"/>
    </font>
    <font>
      <sz val="10"/>
      <name val="Arial"/>
    </font>
    <font>
      <b/>
      <sz val="10"/>
      <color rgb="FF808080"/>
      <name val="Arial"/>
    </font>
    <font>
      <b/>
      <sz val="10"/>
      <color rgb="FFC55A11"/>
      <name val="Arial"/>
    </font>
    <font>
      <b/>
      <sz val="10"/>
      <color rgb="FF548235"/>
      <name val="Arial"/>
    </font>
    <font>
      <b/>
      <sz val="10"/>
      <color rgb="FFC00000"/>
      <name val="Arial"/>
    </font>
    <font>
      <strike/>
      <sz val="10"/>
      <color rgb="FF999999"/>
      <name val="Arial"/>
    </font>
    <font>
      <b/>
      <sz val="11"/>
      <name val="Arial"/>
    </font>
    <font>
      <b/>
      <sz val="10"/>
      <name val="Arial"/>
    </font>
    <font>
      <b/>
      <sz val="10"/>
      <color rgb="FF000000"/>
      <name val="Arial"/>
    </font>
    <font>
      <sz val="9"/>
      <color rgb="FF666666"/>
      <name val="Arial"/>
    </font>
    <font>
      <b/>
      <sz val="10"/>
      <color rgb="FFFFFFFF"/>
      <name val="Arial"/>
    </font>
    <font>
      <sz val="10"/>
      <color rgb="FF000000"/>
      <name val="Arial"/>
    </font>
    <font>
      <sz val="8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</font>
    <font>
      <u/>
      <sz val="11"/>
      <color theme="10"/>
      <name val="맑은 고딕"/>
      <family val="2"/>
      <scheme val="minor"/>
    </font>
    <font>
      <sz val="10"/>
      <color rgb="FF000000"/>
      <name val="Arial"/>
      <family val="2"/>
    </font>
    <font>
      <sz val="10"/>
      <color rgb="FF000000"/>
      <name val="Arial"/>
      <family val="3"/>
      <charset val="129"/>
    </font>
  </fonts>
  <fills count="9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404040"/>
      </patternFill>
    </fill>
    <fill>
      <patternFill patternType="solid">
        <fgColor rgb="FFD9E1F2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</borders>
  <cellStyleXfs count="2">
    <xf numFmtId="0" fontId="0" fillId="0" borderId="0"/>
    <xf numFmtId="0" fontId="21" fillId="0" borderId="0" applyNumberFormat="0" applyFill="0" applyBorder="0" applyAlignment="0" applyProtection="0"/>
  </cellStyleXfs>
  <cellXfs count="50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/>
    </xf>
    <xf numFmtId="3" fontId="1" fillId="2" borderId="0" xfId="0" applyNumberFormat="1" applyFont="1" applyFill="1" applyAlignment="1">
      <alignment vertical="center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vertical="center" wrapText="1"/>
    </xf>
    <xf numFmtId="0" fontId="8" fillId="0" borderId="1" xfId="0" applyFont="1" applyBorder="1" applyAlignment="1">
      <alignment horizontal="center" vertical="center"/>
    </xf>
    <xf numFmtId="4" fontId="7" fillId="0" borderId="1" xfId="0" applyNumberFormat="1" applyFont="1" applyBorder="1" applyAlignment="1">
      <alignment vertical="center"/>
    </xf>
    <xf numFmtId="3" fontId="7" fillId="0" borderId="1" xfId="0" applyNumberFormat="1" applyFont="1" applyBorder="1" applyAlignment="1">
      <alignment vertical="center"/>
    </xf>
    <xf numFmtId="3" fontId="7" fillId="2" borderId="1" xfId="0" applyNumberFormat="1" applyFont="1" applyFill="1" applyBorder="1" applyAlignment="1">
      <alignment vertical="center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vertical="center"/>
    </xf>
    <xf numFmtId="0" fontId="12" fillId="0" borderId="1" xfId="0" applyFont="1" applyBorder="1" applyAlignment="1">
      <alignment vertical="center" wrapText="1"/>
    </xf>
    <xf numFmtId="0" fontId="11" fillId="0" borderId="1" xfId="0" applyFont="1" applyBorder="1" applyAlignment="1">
      <alignment horizontal="center" vertical="center"/>
    </xf>
    <xf numFmtId="0" fontId="13" fillId="0" borderId="0" xfId="0" applyFont="1"/>
    <xf numFmtId="0" fontId="14" fillId="0" borderId="0" xfId="0" applyFont="1"/>
    <xf numFmtId="4" fontId="15" fillId="0" borderId="1" xfId="0" applyNumberFormat="1" applyFont="1" applyBorder="1"/>
    <xf numFmtId="3" fontId="15" fillId="0" borderId="1" xfId="0" applyNumberFormat="1" applyFont="1" applyBorder="1"/>
    <xf numFmtId="0" fontId="7" fillId="0" borderId="0" xfId="0" applyFont="1"/>
    <xf numFmtId="4" fontId="11" fillId="0" borderId="1" xfId="0" applyNumberFormat="1" applyFont="1" applyBorder="1"/>
    <xf numFmtId="3" fontId="11" fillId="0" borderId="1" xfId="0" applyNumberFormat="1" applyFont="1" applyBorder="1"/>
    <xf numFmtId="4" fontId="13" fillId="4" borderId="1" xfId="0" applyNumberFormat="1" applyFont="1" applyFill="1" applyBorder="1"/>
    <xf numFmtId="3" fontId="13" fillId="4" borderId="1" xfId="0" applyNumberFormat="1" applyFont="1" applyFill="1" applyBorder="1"/>
    <xf numFmtId="0" fontId="16" fillId="0" borderId="0" xfId="0" applyFont="1"/>
    <xf numFmtId="0" fontId="17" fillId="3" borderId="1" xfId="0" applyFont="1" applyFill="1" applyBorder="1" applyAlignment="1">
      <alignment vertical="center"/>
    </xf>
    <xf numFmtId="0" fontId="17" fillId="3" borderId="1" xfId="0" applyFont="1" applyFill="1" applyBorder="1" applyAlignment="1">
      <alignment vertical="center" wrapText="1"/>
    </xf>
    <xf numFmtId="0" fontId="18" fillId="0" borderId="1" xfId="0" applyFont="1" applyBorder="1" applyAlignment="1">
      <alignment vertical="center"/>
    </xf>
    <xf numFmtId="4" fontId="18" fillId="0" borderId="1" xfId="0" applyNumberFormat="1" applyFont="1" applyBorder="1" applyAlignment="1">
      <alignment vertical="center"/>
    </xf>
    <xf numFmtId="0" fontId="18" fillId="0" borderId="1" xfId="0" applyFont="1" applyBorder="1" applyAlignment="1">
      <alignment vertical="center" wrapText="1"/>
    </xf>
    <xf numFmtId="3" fontId="0" fillId="0" borderId="0" xfId="0" applyNumberFormat="1" applyAlignment="1">
      <alignment vertical="center" wrapText="1"/>
    </xf>
    <xf numFmtId="0" fontId="18" fillId="5" borderId="1" xfId="0" applyFont="1" applyFill="1" applyBorder="1" applyAlignment="1">
      <alignment vertical="center" wrapText="1"/>
    </xf>
    <xf numFmtId="0" fontId="18" fillId="6" borderId="1" xfId="0" applyFont="1" applyFill="1" applyBorder="1" applyAlignment="1">
      <alignment vertical="center" wrapText="1"/>
    </xf>
    <xf numFmtId="0" fontId="18" fillId="7" borderId="1" xfId="0" applyFont="1" applyFill="1" applyBorder="1" applyAlignment="1">
      <alignment vertical="center" wrapText="1"/>
    </xf>
    <xf numFmtId="0" fontId="20" fillId="7" borderId="1" xfId="0" applyFont="1" applyFill="1" applyBorder="1" applyAlignment="1">
      <alignment vertical="center" wrapText="1"/>
    </xf>
    <xf numFmtId="0" fontId="18" fillId="8" borderId="1" xfId="0" applyFont="1" applyFill="1" applyBorder="1" applyAlignment="1">
      <alignment vertical="center" wrapText="1"/>
    </xf>
    <xf numFmtId="0" fontId="18" fillId="0" borderId="2" xfId="0" applyFont="1" applyBorder="1" applyAlignment="1">
      <alignment horizontal="center" vertical="center" wrapText="1"/>
    </xf>
    <xf numFmtId="0" fontId="18" fillId="0" borderId="3" xfId="0" applyFont="1" applyBorder="1" applyAlignment="1">
      <alignment horizontal="center" vertical="center" wrapText="1"/>
    </xf>
    <xf numFmtId="0" fontId="18" fillId="0" borderId="4" xfId="0" applyFont="1" applyBorder="1" applyAlignment="1">
      <alignment horizontal="center" vertical="center" wrapText="1"/>
    </xf>
    <xf numFmtId="0" fontId="4" fillId="0" borderId="0" xfId="0" applyFont="1"/>
    <xf numFmtId="0" fontId="0" fillId="0" borderId="0" xfId="0"/>
    <xf numFmtId="0" fontId="5" fillId="0" borderId="0" xfId="0" applyFont="1" applyAlignment="1">
      <alignment vertical="top" wrapText="1"/>
    </xf>
    <xf numFmtId="0" fontId="21" fillId="0" borderId="0" xfId="1" applyAlignment="1">
      <alignment vertical="center" wrapText="1"/>
    </xf>
    <xf numFmtId="0" fontId="23" fillId="0" borderId="1" xfId="0" applyFont="1" applyBorder="1" applyAlignment="1">
      <alignment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coupang.com/vp/products/9676374699?vendorItemId=95864602021&amp;sourceType=CART" TargetMode="External"/><Relationship Id="rId2" Type="http://schemas.openxmlformats.org/officeDocument/2006/relationships/hyperlink" Target="https://www.alibaba.com/product-detail/Low-Cost-Feetech-STS3215-Servo-7_1601611431055.html?spm=a2700.prosearch.normal_offer.d_image.353667afKTd0Xq&amp;selectedCarrierCode=SEMI_MANAGED_ECONOMIC%40%40ECONOMY&amp;priceId=67301407777347eca97c467d2b885f68" TargetMode="External"/><Relationship Id="rId1" Type="http://schemas.openxmlformats.org/officeDocument/2006/relationships/hyperlink" Target="https://ko.aliexpress.com/item/1005012432601159.html?spm=a2g0o.cart.0.0.43485ea2IKZauB&amp;mp=1&amp;pdp_npi=6%40dis%21KRW%21KRW%203448%21KRW%203240%21%21KRW%203240%21%21%21%40212a6df517893153370553915e0fda%2112000058362683244%21ct%21KR%218166665694%21%211%210%21&amp;gatewayAdapt=glo2kor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opLeftCell="B1" workbookViewId="0"/>
  </sheetViews>
  <sheetFormatPr defaultRowHeight="16.899999999999999" x14ac:dyDescent="0.6"/>
  <cols>
    <col min="1" max="1" width="20" customWidth="1"/>
    <col min="2" max="2" width="60" customWidth="1"/>
    <col min="3" max="3" width="70" customWidth="1"/>
  </cols>
  <sheetData>
    <row r="1" spans="1:3" x14ac:dyDescent="0.6">
      <c r="A1" s="1" t="s">
        <v>0</v>
      </c>
      <c r="B1" s="1" t="s">
        <v>1</v>
      </c>
      <c r="C1" s="2" t="s">
        <v>2</v>
      </c>
    </row>
    <row r="2" spans="1:3" x14ac:dyDescent="0.6">
      <c r="A2" s="3" t="s">
        <v>3</v>
      </c>
      <c r="B2" s="4">
        <v>1634</v>
      </c>
      <c r="C2" s="5" t="s">
        <v>4</v>
      </c>
    </row>
    <row r="3" spans="1:3" x14ac:dyDescent="0.6">
      <c r="A3" s="6" t="s">
        <v>5</v>
      </c>
      <c r="B3" s="6" t="s">
        <v>6</v>
      </c>
      <c r="C3" s="7"/>
    </row>
    <row r="4" spans="1:3" x14ac:dyDescent="0.6">
      <c r="A4" s="6" t="s">
        <v>7</v>
      </c>
      <c r="B4" s="6" t="s">
        <v>8</v>
      </c>
      <c r="C4" s="7" t="s">
        <v>9</v>
      </c>
    </row>
    <row r="5" spans="1:3" x14ac:dyDescent="0.6">
      <c r="A5" s="6" t="s">
        <v>10</v>
      </c>
      <c r="B5" s="6" t="s">
        <v>11</v>
      </c>
      <c r="C5" s="7" t="s">
        <v>12</v>
      </c>
    </row>
    <row r="6" spans="1:3" x14ac:dyDescent="0.6">
      <c r="A6" s="6" t="s">
        <v>13</v>
      </c>
      <c r="B6" s="6" t="s">
        <v>14</v>
      </c>
      <c r="C6" s="7" t="s">
        <v>15</v>
      </c>
    </row>
  </sheetData>
  <phoneticPr fontId="19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4"/>
  <sheetViews>
    <sheetView workbookViewId="0">
      <pane ySplit="4" topLeftCell="A30" activePane="bottomLeft" state="frozen"/>
      <selection pane="bottomLeft" activeCell="B5" sqref="B5"/>
    </sheetView>
  </sheetViews>
  <sheetFormatPr defaultRowHeight="16.899999999999999" x14ac:dyDescent="0.6"/>
  <cols>
    <col min="1" max="1" width="13" customWidth="1"/>
    <col min="2" max="2" width="34" customWidth="1"/>
    <col min="3" max="3" width="6" customWidth="1"/>
    <col min="4" max="4" width="62" customWidth="1"/>
    <col min="5" max="5" width="7" customWidth="1"/>
    <col min="6" max="6" width="13" customWidth="1"/>
    <col min="7" max="7" width="15" customWidth="1"/>
    <col min="8" max="9" width="13" customWidth="1"/>
    <col min="10" max="10" width="7" customWidth="1"/>
  </cols>
  <sheetData>
    <row r="1" spans="1:10" ht="18.399999999999999" x14ac:dyDescent="0.6">
      <c r="A1" s="45" t="s">
        <v>16</v>
      </c>
      <c r="B1" s="46"/>
      <c r="C1" s="46"/>
      <c r="D1" s="46"/>
      <c r="E1" s="46"/>
      <c r="F1" s="46"/>
      <c r="G1" s="46"/>
      <c r="H1" s="46"/>
      <c r="I1" s="46"/>
      <c r="J1" s="46"/>
    </row>
    <row r="2" spans="1:10" ht="30" customHeight="1" x14ac:dyDescent="0.6">
      <c r="A2" s="47" t="s">
        <v>17</v>
      </c>
      <c r="B2" s="46"/>
      <c r="C2" s="46"/>
      <c r="D2" s="46"/>
      <c r="E2" s="46"/>
      <c r="F2" s="46"/>
      <c r="G2" s="46"/>
      <c r="H2" s="46"/>
      <c r="I2" s="46"/>
      <c r="J2" s="46"/>
    </row>
    <row r="4" spans="1:10" ht="27.75" x14ac:dyDescent="0.6">
      <c r="A4" s="8" t="s">
        <v>18</v>
      </c>
      <c r="B4" s="8" t="s">
        <v>19</v>
      </c>
      <c r="C4" s="8" t="s">
        <v>20</v>
      </c>
      <c r="D4" s="8" t="s">
        <v>21</v>
      </c>
      <c r="E4" s="8" t="s">
        <v>22</v>
      </c>
      <c r="F4" s="8" t="s">
        <v>23</v>
      </c>
      <c r="G4" s="8" t="s">
        <v>24</v>
      </c>
      <c r="H4" s="8" t="s">
        <v>25</v>
      </c>
      <c r="I4" s="8" t="s">
        <v>26</v>
      </c>
      <c r="J4" s="8" t="s">
        <v>27</v>
      </c>
    </row>
    <row r="5" spans="1:10" x14ac:dyDescent="0.6">
      <c r="A5" s="9" t="s">
        <v>28</v>
      </c>
      <c r="B5" s="9" t="s">
        <v>29</v>
      </c>
      <c r="C5" s="10">
        <v>14</v>
      </c>
      <c r="D5" s="11" t="s">
        <v>30</v>
      </c>
      <c r="E5" s="12" t="s">
        <v>31</v>
      </c>
      <c r="F5" s="13">
        <v>14</v>
      </c>
      <c r="G5" s="13">
        <f t="shared" ref="G5:G39" si="0">C5*F5</f>
        <v>196</v>
      </c>
      <c r="H5" s="14">
        <f>G5*설정!$B$2</f>
        <v>320264</v>
      </c>
      <c r="I5" s="15"/>
      <c r="J5" s="9" t="s">
        <v>32</v>
      </c>
    </row>
    <row r="6" spans="1:10" x14ac:dyDescent="0.6">
      <c r="A6" s="9" t="s">
        <v>28</v>
      </c>
      <c r="B6" s="9" t="s">
        <v>33</v>
      </c>
      <c r="C6" s="10">
        <v>1</v>
      </c>
      <c r="D6" s="11" t="s">
        <v>34</v>
      </c>
      <c r="E6" s="16" t="s">
        <v>35</v>
      </c>
      <c r="F6" s="13">
        <v>5</v>
      </c>
      <c r="G6" s="13">
        <f t="shared" si="0"/>
        <v>5</v>
      </c>
      <c r="H6" s="14">
        <f>G6*설정!$B$2</f>
        <v>8170</v>
      </c>
      <c r="I6" s="15"/>
      <c r="J6" s="9" t="s">
        <v>36</v>
      </c>
    </row>
    <row r="7" spans="1:10" x14ac:dyDescent="0.6">
      <c r="A7" s="9" t="s">
        <v>28</v>
      </c>
      <c r="B7" s="9" t="s">
        <v>37</v>
      </c>
      <c r="C7" s="10">
        <v>1</v>
      </c>
      <c r="D7" s="11" t="s">
        <v>38</v>
      </c>
      <c r="E7" s="12" t="s">
        <v>31</v>
      </c>
      <c r="F7" s="13">
        <v>40</v>
      </c>
      <c r="G7" s="13">
        <f t="shared" si="0"/>
        <v>40</v>
      </c>
      <c r="H7" s="14">
        <f>G7*설정!$B$2</f>
        <v>65360</v>
      </c>
      <c r="I7" s="15"/>
      <c r="J7" s="9" t="s">
        <v>39</v>
      </c>
    </row>
    <row r="8" spans="1:10" x14ac:dyDescent="0.6">
      <c r="A8" s="9" t="s">
        <v>28</v>
      </c>
      <c r="B8" s="9" t="s">
        <v>40</v>
      </c>
      <c r="C8" s="10">
        <v>4</v>
      </c>
      <c r="D8" s="11" t="s">
        <v>41</v>
      </c>
      <c r="E8" s="12" t="s">
        <v>31</v>
      </c>
      <c r="F8" s="13">
        <v>1</v>
      </c>
      <c r="G8" s="13">
        <f t="shared" si="0"/>
        <v>4</v>
      </c>
      <c r="H8" s="14">
        <f>G8*설정!$B$2</f>
        <v>6536</v>
      </c>
      <c r="I8" s="15"/>
      <c r="J8" s="9"/>
    </row>
    <row r="9" spans="1:10" x14ac:dyDescent="0.6">
      <c r="A9" s="9" t="s">
        <v>28</v>
      </c>
      <c r="B9" s="9" t="s">
        <v>42</v>
      </c>
      <c r="C9" s="10">
        <v>2</v>
      </c>
      <c r="D9" s="11" t="s">
        <v>43</v>
      </c>
      <c r="E9" s="12" t="s">
        <v>31</v>
      </c>
      <c r="F9" s="13">
        <v>3.33</v>
      </c>
      <c r="G9" s="13">
        <f t="shared" si="0"/>
        <v>6.66</v>
      </c>
      <c r="H9" s="14">
        <f>G9*설정!$B$2</f>
        <v>10882.44</v>
      </c>
      <c r="I9" s="15"/>
      <c r="J9" s="9"/>
    </row>
    <row r="10" spans="1:10" x14ac:dyDescent="0.6">
      <c r="A10" s="9" t="s">
        <v>28</v>
      </c>
      <c r="B10" s="9" t="s">
        <v>44</v>
      </c>
      <c r="C10" s="10">
        <v>3</v>
      </c>
      <c r="D10" s="11" t="s">
        <v>45</v>
      </c>
      <c r="E10" s="16" t="s">
        <v>35</v>
      </c>
      <c r="F10" s="13">
        <v>3.5</v>
      </c>
      <c r="G10" s="13">
        <f t="shared" si="0"/>
        <v>10.5</v>
      </c>
      <c r="H10" s="14">
        <f>G10*설정!$B$2</f>
        <v>17157</v>
      </c>
      <c r="I10" s="15"/>
      <c r="J10" s="9" t="s">
        <v>32</v>
      </c>
    </row>
    <row r="11" spans="1:10" x14ac:dyDescent="0.6">
      <c r="A11" s="9" t="s">
        <v>28</v>
      </c>
      <c r="B11" s="9" t="s">
        <v>46</v>
      </c>
      <c r="C11" s="10">
        <v>1</v>
      </c>
      <c r="D11" s="11" t="s">
        <v>47</v>
      </c>
      <c r="E11" s="12" t="s">
        <v>31</v>
      </c>
      <c r="F11" s="13">
        <v>5.99</v>
      </c>
      <c r="G11" s="13">
        <f t="shared" si="0"/>
        <v>5.99</v>
      </c>
      <c r="H11" s="14">
        <f>G11*설정!$B$2</f>
        <v>9787.66</v>
      </c>
      <c r="I11" s="15"/>
      <c r="J11" s="9"/>
    </row>
    <row r="12" spans="1:10" x14ac:dyDescent="0.6">
      <c r="A12" s="9" t="s">
        <v>28</v>
      </c>
      <c r="B12" s="9" t="s">
        <v>48</v>
      </c>
      <c r="C12" s="10">
        <v>1</v>
      </c>
      <c r="D12" s="11" t="s">
        <v>49</v>
      </c>
      <c r="E12" s="17" t="s">
        <v>50</v>
      </c>
      <c r="F12" s="13">
        <v>10</v>
      </c>
      <c r="G12" s="13">
        <f t="shared" si="0"/>
        <v>10</v>
      </c>
      <c r="H12" s="14">
        <f>G12*설정!$B$2</f>
        <v>16340</v>
      </c>
      <c r="I12" s="15"/>
      <c r="J12" s="9" t="s">
        <v>51</v>
      </c>
    </row>
    <row r="13" spans="1:10" x14ac:dyDescent="0.6">
      <c r="A13" s="9" t="s">
        <v>28</v>
      </c>
      <c r="B13" s="9" t="s">
        <v>52</v>
      </c>
      <c r="C13" s="10">
        <v>1</v>
      </c>
      <c r="D13" s="11" t="s">
        <v>53</v>
      </c>
      <c r="E13" s="16" t="s">
        <v>35</v>
      </c>
      <c r="F13" s="13">
        <v>8.4</v>
      </c>
      <c r="G13" s="13">
        <f t="shared" si="0"/>
        <v>8.4</v>
      </c>
      <c r="H13" s="14">
        <f>G13*설정!$B$2</f>
        <v>13725.6</v>
      </c>
      <c r="I13" s="15"/>
      <c r="J13" s="9" t="s">
        <v>54</v>
      </c>
    </row>
    <row r="14" spans="1:10" x14ac:dyDescent="0.6">
      <c r="A14" s="9" t="s">
        <v>28</v>
      </c>
      <c r="B14" s="9" t="s">
        <v>55</v>
      </c>
      <c r="C14" s="10">
        <v>1</v>
      </c>
      <c r="D14" s="11" t="s">
        <v>56</v>
      </c>
      <c r="E14" s="12" t="s">
        <v>31</v>
      </c>
      <c r="F14" s="13">
        <v>4</v>
      </c>
      <c r="G14" s="13">
        <f t="shared" si="0"/>
        <v>4</v>
      </c>
      <c r="H14" s="14">
        <f>G14*설정!$B$2</f>
        <v>6536</v>
      </c>
      <c r="I14" s="15"/>
      <c r="J14" s="9" t="s">
        <v>57</v>
      </c>
    </row>
    <row r="15" spans="1:10" x14ac:dyDescent="0.6">
      <c r="A15" s="9" t="s">
        <v>28</v>
      </c>
      <c r="B15" s="9" t="s">
        <v>58</v>
      </c>
      <c r="C15" s="10">
        <v>1</v>
      </c>
      <c r="D15" s="11" t="s">
        <v>59</v>
      </c>
      <c r="E15" s="16" t="s">
        <v>35</v>
      </c>
      <c r="F15" s="13">
        <v>4.99</v>
      </c>
      <c r="G15" s="13">
        <f t="shared" si="0"/>
        <v>4.99</v>
      </c>
      <c r="H15" s="14">
        <f>G15*설정!$B$2</f>
        <v>8153.6600000000008</v>
      </c>
      <c r="I15" s="15"/>
      <c r="J15" s="9" t="s">
        <v>60</v>
      </c>
    </row>
    <row r="16" spans="1:10" x14ac:dyDescent="0.6">
      <c r="A16" s="9" t="s">
        <v>28</v>
      </c>
      <c r="B16" s="9" t="s">
        <v>61</v>
      </c>
      <c r="C16" s="10">
        <v>1</v>
      </c>
      <c r="D16" s="11" t="s">
        <v>62</v>
      </c>
      <c r="E16" s="16" t="s">
        <v>35</v>
      </c>
      <c r="F16" s="13">
        <v>8</v>
      </c>
      <c r="G16" s="13">
        <f t="shared" si="0"/>
        <v>8</v>
      </c>
      <c r="H16" s="14">
        <f>G16*설정!$B$2</f>
        <v>13072</v>
      </c>
      <c r="I16" s="15"/>
      <c r="J16" s="9" t="s">
        <v>57</v>
      </c>
    </row>
    <row r="17" spans="1:10" x14ac:dyDescent="0.6">
      <c r="A17" s="9" t="s">
        <v>28</v>
      </c>
      <c r="B17" s="9" t="s">
        <v>63</v>
      </c>
      <c r="C17" s="10">
        <v>1</v>
      </c>
      <c r="D17" s="11" t="s">
        <v>64</v>
      </c>
      <c r="E17" s="16" t="s">
        <v>35</v>
      </c>
      <c r="F17" s="13">
        <v>4.49</v>
      </c>
      <c r="G17" s="13">
        <f t="shared" si="0"/>
        <v>4.49</v>
      </c>
      <c r="H17" s="14">
        <f>G17*설정!$B$2</f>
        <v>7336.6600000000008</v>
      </c>
      <c r="I17" s="15"/>
      <c r="J17" s="9" t="s">
        <v>65</v>
      </c>
    </row>
    <row r="18" spans="1:10" x14ac:dyDescent="0.6">
      <c r="A18" s="9" t="s">
        <v>28</v>
      </c>
      <c r="B18" s="9" t="s">
        <v>66</v>
      </c>
      <c r="C18" s="10">
        <v>1</v>
      </c>
      <c r="D18" s="11"/>
      <c r="E18" s="12" t="s">
        <v>31</v>
      </c>
      <c r="F18" s="13">
        <v>7</v>
      </c>
      <c r="G18" s="13">
        <f t="shared" si="0"/>
        <v>7</v>
      </c>
      <c r="H18" s="14">
        <f>G18*설정!$B$2</f>
        <v>11438</v>
      </c>
      <c r="I18" s="15"/>
      <c r="J18" s="9"/>
    </row>
    <row r="19" spans="1:10" x14ac:dyDescent="0.6">
      <c r="A19" s="9" t="s">
        <v>28</v>
      </c>
      <c r="B19" s="9" t="s">
        <v>67</v>
      </c>
      <c r="C19" s="10">
        <v>1</v>
      </c>
      <c r="D19" s="11"/>
      <c r="E19" s="12" t="s">
        <v>31</v>
      </c>
      <c r="F19" s="13">
        <v>6</v>
      </c>
      <c r="G19" s="13">
        <f t="shared" si="0"/>
        <v>6</v>
      </c>
      <c r="H19" s="14">
        <f>G19*설정!$B$2</f>
        <v>9804</v>
      </c>
      <c r="I19" s="15"/>
      <c r="J19" s="9"/>
    </row>
    <row r="20" spans="1:10" x14ac:dyDescent="0.6">
      <c r="A20" s="9" t="s">
        <v>28</v>
      </c>
      <c r="B20" s="9" t="s">
        <v>68</v>
      </c>
      <c r="C20" s="10">
        <v>1</v>
      </c>
      <c r="D20" s="11" t="s">
        <v>69</v>
      </c>
      <c r="E20" s="12" t="s">
        <v>31</v>
      </c>
      <c r="F20" s="13">
        <v>9</v>
      </c>
      <c r="G20" s="13">
        <f t="shared" si="0"/>
        <v>9</v>
      </c>
      <c r="H20" s="14">
        <f>G20*설정!$B$2</f>
        <v>14706</v>
      </c>
      <c r="I20" s="15"/>
      <c r="J20" s="9"/>
    </row>
    <row r="21" spans="1:10" x14ac:dyDescent="0.6">
      <c r="A21" s="9" t="s">
        <v>28</v>
      </c>
      <c r="B21" s="9" t="s">
        <v>70</v>
      </c>
      <c r="C21" s="10">
        <v>2</v>
      </c>
      <c r="D21" s="11" t="s">
        <v>71</v>
      </c>
      <c r="E21" s="17" t="s">
        <v>50</v>
      </c>
      <c r="F21" s="13">
        <v>1</v>
      </c>
      <c r="G21" s="13">
        <f t="shared" si="0"/>
        <v>2</v>
      </c>
      <c r="H21" s="14">
        <f>G21*설정!$B$2</f>
        <v>3268</v>
      </c>
      <c r="I21" s="15"/>
      <c r="J21" s="9" t="s">
        <v>51</v>
      </c>
    </row>
    <row r="22" spans="1:10" x14ac:dyDescent="0.6">
      <c r="A22" s="9" t="s">
        <v>28</v>
      </c>
      <c r="B22" s="9" t="s">
        <v>72</v>
      </c>
      <c r="C22" s="10">
        <v>1</v>
      </c>
      <c r="D22" s="11" t="s">
        <v>73</v>
      </c>
      <c r="E22" s="12" t="s">
        <v>31</v>
      </c>
      <c r="F22" s="13">
        <v>26.08</v>
      </c>
      <c r="G22" s="13">
        <f t="shared" si="0"/>
        <v>26.08</v>
      </c>
      <c r="H22" s="14">
        <f>G22*설정!$B$2</f>
        <v>42614.719999999994</v>
      </c>
      <c r="I22" s="15"/>
      <c r="J22" s="9" t="s">
        <v>74</v>
      </c>
    </row>
    <row r="23" spans="1:10" ht="25.5" x14ac:dyDescent="0.6">
      <c r="A23" s="9" t="s">
        <v>75</v>
      </c>
      <c r="B23" s="9" t="s">
        <v>76</v>
      </c>
      <c r="C23" s="10">
        <v>2</v>
      </c>
      <c r="D23" s="11" t="s">
        <v>77</v>
      </c>
      <c r="E23" s="16" t="s">
        <v>35</v>
      </c>
      <c r="F23" s="13">
        <v>5</v>
      </c>
      <c r="G23" s="13">
        <f t="shared" si="0"/>
        <v>10</v>
      </c>
      <c r="H23" s="14">
        <f>G23*설정!$B$2</f>
        <v>16340</v>
      </c>
      <c r="I23" s="15"/>
      <c r="J23" s="9" t="s">
        <v>60</v>
      </c>
    </row>
    <row r="24" spans="1:10" x14ac:dyDescent="0.6">
      <c r="A24" s="9" t="s">
        <v>75</v>
      </c>
      <c r="B24" s="9" t="s">
        <v>78</v>
      </c>
      <c r="C24" s="10">
        <v>1</v>
      </c>
      <c r="D24" s="11" t="s">
        <v>79</v>
      </c>
      <c r="E24" s="16" t="s">
        <v>35</v>
      </c>
      <c r="F24" s="13">
        <v>10</v>
      </c>
      <c r="G24" s="13">
        <f t="shared" si="0"/>
        <v>10</v>
      </c>
      <c r="H24" s="14">
        <f>G24*설정!$B$2</f>
        <v>16340</v>
      </c>
      <c r="I24" s="15"/>
      <c r="J24" s="9" t="s">
        <v>80</v>
      </c>
    </row>
    <row r="25" spans="1:10" x14ac:dyDescent="0.6">
      <c r="A25" s="9" t="s">
        <v>75</v>
      </c>
      <c r="B25" s="9" t="s">
        <v>81</v>
      </c>
      <c r="C25" s="10">
        <v>1</v>
      </c>
      <c r="D25" s="11" t="s">
        <v>82</v>
      </c>
      <c r="E25" s="16" t="s">
        <v>83</v>
      </c>
      <c r="F25" s="13">
        <v>9.99</v>
      </c>
      <c r="G25" s="13">
        <f t="shared" si="0"/>
        <v>9.99</v>
      </c>
      <c r="H25" s="14">
        <f>G25*설정!$B$2</f>
        <v>16323.66</v>
      </c>
      <c r="I25" s="15"/>
      <c r="J25" s="9" t="s">
        <v>84</v>
      </c>
    </row>
    <row r="26" spans="1:10" x14ac:dyDescent="0.6">
      <c r="A26" s="9" t="s">
        <v>85</v>
      </c>
      <c r="B26" s="9" t="s">
        <v>86</v>
      </c>
      <c r="C26" s="10">
        <v>1</v>
      </c>
      <c r="D26" s="11" t="s">
        <v>87</v>
      </c>
      <c r="E26" s="16" t="s">
        <v>35</v>
      </c>
      <c r="F26" s="13">
        <v>28</v>
      </c>
      <c r="G26" s="13">
        <f t="shared" si="0"/>
        <v>28</v>
      </c>
      <c r="H26" s="14">
        <f>G26*설정!$B$2</f>
        <v>45752</v>
      </c>
      <c r="I26" s="15"/>
      <c r="J26" s="9" t="s">
        <v>88</v>
      </c>
    </row>
    <row r="27" spans="1:10" x14ac:dyDescent="0.6">
      <c r="A27" s="9" t="s">
        <v>85</v>
      </c>
      <c r="B27" s="9" t="s">
        <v>89</v>
      </c>
      <c r="C27" s="10">
        <v>1</v>
      </c>
      <c r="D27" s="11" t="s">
        <v>90</v>
      </c>
      <c r="E27" s="16" t="s">
        <v>35</v>
      </c>
      <c r="F27" s="13">
        <v>0</v>
      </c>
      <c r="G27" s="13">
        <f t="shared" si="0"/>
        <v>0</v>
      </c>
      <c r="H27" s="14">
        <f>G27*설정!$B$2</f>
        <v>0</v>
      </c>
      <c r="I27" s="15"/>
      <c r="J27" s="9" t="s">
        <v>88</v>
      </c>
    </row>
    <row r="28" spans="1:10" x14ac:dyDescent="0.6">
      <c r="A28" s="9" t="s">
        <v>85</v>
      </c>
      <c r="B28" s="9" t="s">
        <v>91</v>
      </c>
      <c r="C28" s="10">
        <v>1</v>
      </c>
      <c r="D28" s="11" t="s">
        <v>92</v>
      </c>
      <c r="E28" s="16" t="s">
        <v>35</v>
      </c>
      <c r="F28" s="13">
        <v>0</v>
      </c>
      <c r="G28" s="13">
        <f t="shared" si="0"/>
        <v>0</v>
      </c>
      <c r="H28" s="14">
        <f>G28*설정!$B$2</f>
        <v>0</v>
      </c>
      <c r="I28" s="15"/>
      <c r="J28" s="9" t="s">
        <v>88</v>
      </c>
    </row>
    <row r="29" spans="1:10" x14ac:dyDescent="0.6">
      <c r="A29" s="9" t="s">
        <v>93</v>
      </c>
      <c r="B29" s="9" t="s">
        <v>94</v>
      </c>
      <c r="C29" s="10">
        <v>1</v>
      </c>
      <c r="D29" s="11" t="s">
        <v>95</v>
      </c>
      <c r="E29" s="17" t="s">
        <v>50</v>
      </c>
      <c r="F29" s="13">
        <v>0</v>
      </c>
      <c r="G29" s="13">
        <f t="shared" si="0"/>
        <v>0</v>
      </c>
      <c r="H29" s="14">
        <f>G29*설정!$B$2</f>
        <v>0</v>
      </c>
      <c r="I29" s="15"/>
      <c r="J29" s="9" t="s">
        <v>96</v>
      </c>
    </row>
    <row r="30" spans="1:10" ht="25.5" x14ac:dyDescent="0.6">
      <c r="A30" s="9" t="s">
        <v>93</v>
      </c>
      <c r="B30" s="9" t="s">
        <v>97</v>
      </c>
      <c r="C30" s="10">
        <v>1</v>
      </c>
      <c r="D30" s="11" t="s">
        <v>98</v>
      </c>
      <c r="E30" s="16" t="s">
        <v>35</v>
      </c>
      <c r="F30" s="13">
        <v>38</v>
      </c>
      <c r="G30" s="13">
        <f t="shared" si="0"/>
        <v>38</v>
      </c>
      <c r="H30" s="14">
        <f>G30*설정!$B$2</f>
        <v>62092</v>
      </c>
      <c r="I30" s="15"/>
      <c r="J30" s="9" t="s">
        <v>96</v>
      </c>
    </row>
    <row r="31" spans="1:10" x14ac:dyDescent="0.6">
      <c r="A31" s="9" t="s">
        <v>93</v>
      </c>
      <c r="B31" s="9" t="s">
        <v>99</v>
      </c>
      <c r="C31" s="10">
        <v>1</v>
      </c>
      <c r="D31" s="11" t="s">
        <v>100</v>
      </c>
      <c r="E31" s="17" t="s">
        <v>50</v>
      </c>
      <c r="F31" s="13">
        <v>12</v>
      </c>
      <c r="G31" s="13">
        <f t="shared" si="0"/>
        <v>12</v>
      </c>
      <c r="H31" s="14">
        <f>G31*설정!$B$2</f>
        <v>19608</v>
      </c>
      <c r="I31" s="15"/>
      <c r="J31" s="9" t="s">
        <v>96</v>
      </c>
    </row>
    <row r="32" spans="1:10" x14ac:dyDescent="0.6">
      <c r="A32" s="9" t="s">
        <v>93</v>
      </c>
      <c r="B32" s="9" t="s">
        <v>101</v>
      </c>
      <c r="C32" s="10">
        <v>2</v>
      </c>
      <c r="D32" s="11" t="s">
        <v>102</v>
      </c>
      <c r="E32" s="17" t="s">
        <v>50</v>
      </c>
      <c r="F32" s="13">
        <v>5</v>
      </c>
      <c r="G32" s="13">
        <f t="shared" si="0"/>
        <v>10</v>
      </c>
      <c r="H32" s="14">
        <f>G32*설정!$B$2</f>
        <v>16340</v>
      </c>
      <c r="I32" s="15"/>
      <c r="J32" s="9" t="s">
        <v>57</v>
      </c>
    </row>
    <row r="33" spans="1:10" x14ac:dyDescent="0.6">
      <c r="A33" s="9" t="s">
        <v>103</v>
      </c>
      <c r="B33" s="18" t="s">
        <v>104</v>
      </c>
      <c r="C33" s="10">
        <v>2</v>
      </c>
      <c r="D33" s="19" t="s">
        <v>105</v>
      </c>
      <c r="E33" s="20" t="s">
        <v>106</v>
      </c>
      <c r="F33" s="13">
        <v>1</v>
      </c>
      <c r="G33" s="13">
        <f t="shared" si="0"/>
        <v>2</v>
      </c>
      <c r="H33" s="14">
        <f>G33*설정!$B$2</f>
        <v>3268</v>
      </c>
      <c r="I33" s="15"/>
      <c r="J33" s="9" t="s">
        <v>57</v>
      </c>
    </row>
    <row r="34" spans="1:10" x14ac:dyDescent="0.6">
      <c r="A34" s="9" t="s">
        <v>103</v>
      </c>
      <c r="B34" s="18" t="s">
        <v>107</v>
      </c>
      <c r="C34" s="10">
        <v>1</v>
      </c>
      <c r="D34" s="19" t="s">
        <v>108</v>
      </c>
      <c r="E34" s="20" t="s">
        <v>106</v>
      </c>
      <c r="F34" s="13">
        <v>9.99</v>
      </c>
      <c r="G34" s="13">
        <f t="shared" si="0"/>
        <v>9.99</v>
      </c>
      <c r="H34" s="14">
        <f>G34*설정!$B$2</f>
        <v>16323.66</v>
      </c>
      <c r="I34" s="15"/>
      <c r="J34" s="9" t="s">
        <v>84</v>
      </c>
    </row>
    <row r="35" spans="1:10" x14ac:dyDescent="0.6">
      <c r="A35" s="9" t="s">
        <v>103</v>
      </c>
      <c r="B35" s="18" t="s">
        <v>109</v>
      </c>
      <c r="C35" s="10">
        <v>1</v>
      </c>
      <c r="D35" s="19" t="s">
        <v>110</v>
      </c>
      <c r="E35" s="20" t="s">
        <v>106</v>
      </c>
      <c r="F35" s="13">
        <v>5</v>
      </c>
      <c r="G35" s="13">
        <f t="shared" si="0"/>
        <v>5</v>
      </c>
      <c r="H35" s="14">
        <f>G35*설정!$B$2</f>
        <v>8170</v>
      </c>
      <c r="I35" s="15"/>
      <c r="J35" s="9" t="s">
        <v>36</v>
      </c>
    </row>
    <row r="36" spans="1:10" x14ac:dyDescent="0.6">
      <c r="A36" s="9" t="s">
        <v>103</v>
      </c>
      <c r="B36" s="18" t="s">
        <v>111</v>
      </c>
      <c r="C36" s="10">
        <v>1</v>
      </c>
      <c r="D36" s="19" t="s">
        <v>112</v>
      </c>
      <c r="E36" s="20" t="s">
        <v>106</v>
      </c>
      <c r="F36" s="13">
        <v>15</v>
      </c>
      <c r="G36" s="13">
        <f t="shared" si="0"/>
        <v>15</v>
      </c>
      <c r="H36" s="14">
        <f>G36*설정!$B$2</f>
        <v>24510</v>
      </c>
      <c r="I36" s="15"/>
      <c r="J36" s="9" t="s">
        <v>96</v>
      </c>
    </row>
    <row r="37" spans="1:10" x14ac:dyDescent="0.6">
      <c r="A37" s="9" t="s">
        <v>103</v>
      </c>
      <c r="B37" s="18" t="s">
        <v>113</v>
      </c>
      <c r="C37" s="10">
        <v>1</v>
      </c>
      <c r="D37" s="19" t="s">
        <v>114</v>
      </c>
      <c r="E37" s="20" t="s">
        <v>106</v>
      </c>
      <c r="F37" s="13">
        <v>5</v>
      </c>
      <c r="G37" s="13">
        <f t="shared" si="0"/>
        <v>5</v>
      </c>
      <c r="H37" s="14">
        <f>G37*설정!$B$2</f>
        <v>8170</v>
      </c>
      <c r="I37" s="15"/>
      <c r="J37" s="9" t="s">
        <v>96</v>
      </c>
    </row>
    <row r="38" spans="1:10" x14ac:dyDescent="0.6">
      <c r="A38" s="9" t="s">
        <v>103</v>
      </c>
      <c r="B38" s="18" t="s">
        <v>115</v>
      </c>
      <c r="C38" s="10">
        <v>1</v>
      </c>
      <c r="D38" s="19" t="s">
        <v>116</v>
      </c>
      <c r="E38" s="20" t="s">
        <v>106</v>
      </c>
      <c r="F38" s="13">
        <v>20</v>
      </c>
      <c r="G38" s="13">
        <f t="shared" si="0"/>
        <v>20</v>
      </c>
      <c r="H38" s="14">
        <f>G38*설정!$B$2</f>
        <v>32680</v>
      </c>
      <c r="I38" s="15"/>
      <c r="J38" s="9" t="s">
        <v>88</v>
      </c>
    </row>
    <row r="39" spans="1:10" x14ac:dyDescent="0.6">
      <c r="A39" s="9" t="s">
        <v>103</v>
      </c>
      <c r="B39" s="18" t="s">
        <v>117</v>
      </c>
      <c r="C39" s="10">
        <v>1</v>
      </c>
      <c r="D39" s="19" t="s">
        <v>118</v>
      </c>
      <c r="E39" s="20" t="s">
        <v>106</v>
      </c>
      <c r="F39" s="13">
        <v>0</v>
      </c>
      <c r="G39" s="13">
        <f t="shared" si="0"/>
        <v>0</v>
      </c>
      <c r="H39" s="14">
        <f>G39*설정!$B$2</f>
        <v>0</v>
      </c>
      <c r="I39" s="15"/>
      <c r="J39" s="9" t="s">
        <v>88</v>
      </c>
    </row>
    <row r="41" spans="1:10" x14ac:dyDescent="0.6">
      <c r="B41" s="21" t="s">
        <v>119</v>
      </c>
    </row>
    <row r="42" spans="1:10" x14ac:dyDescent="0.6">
      <c r="B42" s="22" t="s">
        <v>120</v>
      </c>
      <c r="G42" s="23">
        <f>SUMIF($A$5:$A$39,"Wave1 알리",$G$5:$G$39)</f>
        <v>358.10999999999996</v>
      </c>
      <c r="H42" s="24">
        <f>G42*설정!$B$2</f>
        <v>585151.73999999987</v>
      </c>
      <c r="I42" s="24">
        <f>SUMIF($A$5:$A$39,"Wave1 알리",$I$5:$I$39)</f>
        <v>0</v>
      </c>
    </row>
    <row r="43" spans="1:10" x14ac:dyDescent="0.6">
      <c r="B43" s="22" t="s">
        <v>121</v>
      </c>
      <c r="G43" s="23">
        <f>SUMIF($A$5:$A$39,"Wave2 국내",$G$5:$G$39)</f>
        <v>29.990000000000002</v>
      </c>
      <c r="H43" s="24">
        <f>G43*설정!$B$2</f>
        <v>49003.66</v>
      </c>
      <c r="I43" s="24">
        <f>SUMIF($A$5:$A$39,"Wave2 국내",$I$5:$I$39)</f>
        <v>0</v>
      </c>
    </row>
    <row r="44" spans="1:10" x14ac:dyDescent="0.6">
      <c r="B44" s="22" t="s">
        <v>122</v>
      </c>
      <c r="G44" s="23">
        <f>SUMIF($A$5:$A$39,"출력 외주",$G$5:$G$39)</f>
        <v>28</v>
      </c>
      <c r="H44" s="24">
        <f>G44*설정!$B$2</f>
        <v>45752</v>
      </c>
      <c r="I44" s="24">
        <f>SUMIF($A$5:$A$39,"출력 외주",$I$5:$I$39)</f>
        <v>0</v>
      </c>
    </row>
    <row r="45" spans="1:10" x14ac:dyDescent="0.6">
      <c r="B45" s="22" t="s">
        <v>123</v>
      </c>
      <c r="G45" s="23">
        <f>SUMIF($A$5:$A$39,"선택",$G$5:$G$39)</f>
        <v>60</v>
      </c>
      <c r="H45" s="24">
        <f>G45*설정!$B$2</f>
        <v>98040</v>
      </c>
      <c r="I45" s="24">
        <f>SUMIF($A$5:$A$39,"선택",$I$5:$I$39)</f>
        <v>0</v>
      </c>
    </row>
    <row r="46" spans="1:10" x14ac:dyDescent="0.6">
      <c r="B46" s="25" t="s">
        <v>124</v>
      </c>
      <c r="G46" s="26">
        <f>SUMIF($A$5:$A$39,"제외",$G$5:$G$39)</f>
        <v>56.99</v>
      </c>
      <c r="H46" s="27">
        <f>G46*설정!$B$2</f>
        <v>93121.66</v>
      </c>
      <c r="I46" s="27">
        <f>SUMIF($A$5:$A$39,"제외",$I$5:$I$39)</f>
        <v>0</v>
      </c>
    </row>
    <row r="48" spans="1:10" x14ac:dyDescent="0.6">
      <c r="B48" s="21" t="s">
        <v>125</v>
      </c>
      <c r="G48" s="28">
        <f>SUM(G42:G44)</f>
        <v>416.09999999999997</v>
      </c>
      <c r="H48" s="29">
        <f>G48*설정!$B$2</f>
        <v>679907.39999999991</v>
      </c>
      <c r="I48" s="29">
        <f>SUM(I42:I44)</f>
        <v>0</v>
      </c>
    </row>
    <row r="50" spans="2:2" x14ac:dyDescent="0.6">
      <c r="B50" s="30" t="s">
        <v>126</v>
      </c>
    </row>
    <row r="51" spans="2:2" x14ac:dyDescent="0.6">
      <c r="B51" s="30" t="s">
        <v>127</v>
      </c>
    </row>
    <row r="52" spans="2:2" x14ac:dyDescent="0.6">
      <c r="B52" s="30" t="s">
        <v>128</v>
      </c>
    </row>
    <row r="53" spans="2:2" x14ac:dyDescent="0.6">
      <c r="B53" s="30" t="s">
        <v>129</v>
      </c>
    </row>
    <row r="54" spans="2:2" x14ac:dyDescent="0.6">
      <c r="B54" s="30" t="s">
        <v>130</v>
      </c>
    </row>
  </sheetData>
  <autoFilter ref="A4:J39" xr:uid="{00000000-0009-0000-0000-000001000000}"/>
  <mergeCells count="2">
    <mergeCell ref="A1:J1"/>
    <mergeCell ref="A2:J2"/>
  </mergeCells>
  <phoneticPr fontId="19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0F65D-5BBF-4438-AFF6-C2FCDDBD30CE}">
  <dimension ref="A1:H31"/>
  <sheetViews>
    <sheetView tabSelected="1" zoomScale="79" workbookViewId="0">
      <selection activeCell="F4" sqref="F4"/>
    </sheetView>
  </sheetViews>
  <sheetFormatPr defaultRowHeight="16.899999999999999" x14ac:dyDescent="0.6"/>
  <cols>
    <col min="1" max="1" width="16.8125" customWidth="1"/>
    <col min="2" max="2" width="43.3125" customWidth="1"/>
    <col min="3" max="3" width="9.6875" customWidth="1"/>
    <col min="5" max="5" width="9.5625" customWidth="1"/>
    <col min="7" max="7" width="14.8125" customWidth="1"/>
    <col min="8" max="8" width="126.4375" customWidth="1"/>
  </cols>
  <sheetData>
    <row r="1" spans="1:8" x14ac:dyDescent="0.6">
      <c r="A1" s="5"/>
      <c r="B1" s="5"/>
      <c r="C1" s="5"/>
      <c r="D1" s="5" t="s">
        <v>185</v>
      </c>
      <c r="E1" s="5" t="s">
        <v>186</v>
      </c>
      <c r="F1" s="5" t="s">
        <v>187</v>
      </c>
      <c r="G1" s="5" t="s">
        <v>188</v>
      </c>
      <c r="H1" s="5"/>
    </row>
    <row r="2" spans="1:8" ht="33.75" x14ac:dyDescent="0.6">
      <c r="A2" s="42" t="s">
        <v>137</v>
      </c>
      <c r="B2" s="35" t="s">
        <v>138</v>
      </c>
      <c r="C2" s="35"/>
      <c r="D2" s="35">
        <v>2</v>
      </c>
      <c r="E2" s="5"/>
      <c r="F2" s="5">
        <f>D2*E2</f>
        <v>0</v>
      </c>
      <c r="G2" s="5" t="s">
        <v>205</v>
      </c>
      <c r="H2" s="5"/>
    </row>
    <row r="3" spans="1:8" ht="50.65" x14ac:dyDescent="0.6">
      <c r="A3" s="43"/>
      <c r="B3" s="35" t="s">
        <v>141</v>
      </c>
      <c r="C3" s="35"/>
      <c r="D3" s="35">
        <v>1</v>
      </c>
      <c r="E3" s="5"/>
      <c r="F3" s="5">
        <f t="shared" ref="F3:F30" si="0">D3*E3</f>
        <v>0</v>
      </c>
      <c r="G3" s="5" t="s">
        <v>214</v>
      </c>
      <c r="H3" s="5"/>
    </row>
    <row r="4" spans="1:8" ht="50.65" x14ac:dyDescent="0.6">
      <c r="A4" s="43"/>
      <c r="B4" s="35" t="s">
        <v>52</v>
      </c>
      <c r="C4" s="35"/>
      <c r="D4" s="35">
        <v>1</v>
      </c>
      <c r="E4" s="5">
        <v>3240</v>
      </c>
      <c r="F4" s="5">
        <f t="shared" si="0"/>
        <v>3240</v>
      </c>
      <c r="G4" s="5" t="s">
        <v>204</v>
      </c>
      <c r="H4" s="48" t="s">
        <v>211</v>
      </c>
    </row>
    <row r="5" spans="1:8" ht="50.65" x14ac:dyDescent="0.6">
      <c r="A5" s="43"/>
      <c r="B5" s="38" t="s">
        <v>144</v>
      </c>
      <c r="C5" s="35"/>
      <c r="D5" s="35">
        <v>1</v>
      </c>
      <c r="E5" s="5">
        <v>11575</v>
      </c>
      <c r="F5" s="5">
        <f t="shared" si="0"/>
        <v>11575</v>
      </c>
      <c r="G5" s="5"/>
      <c r="H5" s="5" t="s">
        <v>203</v>
      </c>
    </row>
    <row r="6" spans="1:8" ht="118.15" x14ac:dyDescent="0.6">
      <c r="A6" s="43"/>
      <c r="B6" s="38" t="s">
        <v>63</v>
      </c>
      <c r="C6" s="35"/>
      <c r="D6" s="35">
        <v>1</v>
      </c>
      <c r="E6" s="5">
        <v>3400</v>
      </c>
      <c r="F6" s="5">
        <f t="shared" si="0"/>
        <v>3400</v>
      </c>
      <c r="G6" s="5"/>
      <c r="H6" s="5" t="s">
        <v>202</v>
      </c>
    </row>
    <row r="7" spans="1:8" x14ac:dyDescent="0.6">
      <c r="A7" s="43"/>
      <c r="B7" s="35" t="s">
        <v>147</v>
      </c>
      <c r="C7" s="35"/>
      <c r="D7" s="35">
        <v>1</v>
      </c>
      <c r="E7" s="5"/>
      <c r="F7" s="5">
        <f t="shared" si="0"/>
        <v>0</v>
      </c>
      <c r="G7" s="5" t="s">
        <v>201</v>
      </c>
      <c r="H7" s="5"/>
    </row>
    <row r="8" spans="1:8" ht="118.15" x14ac:dyDescent="0.6">
      <c r="A8" s="43"/>
      <c r="B8" s="35" t="s">
        <v>148</v>
      </c>
      <c r="C8" s="35"/>
      <c r="D8" s="35">
        <v>2</v>
      </c>
      <c r="E8" s="5"/>
      <c r="F8" s="5">
        <v>1750</v>
      </c>
      <c r="G8" s="5" t="s">
        <v>210</v>
      </c>
      <c r="H8" s="5" t="s">
        <v>209</v>
      </c>
    </row>
    <row r="9" spans="1:8" ht="16.899999999999999" customHeight="1" x14ac:dyDescent="0.6">
      <c r="A9" s="44"/>
      <c r="B9" s="38" t="s">
        <v>150</v>
      </c>
      <c r="C9" s="35"/>
      <c r="D9" s="35">
        <v>1</v>
      </c>
      <c r="E9" s="5">
        <v>1500</v>
      </c>
      <c r="F9" s="5">
        <f t="shared" si="0"/>
        <v>1500</v>
      </c>
      <c r="G9" s="5"/>
      <c r="H9" s="5" t="s">
        <v>200</v>
      </c>
    </row>
    <row r="10" spans="1:8" ht="50.65" x14ac:dyDescent="0.6">
      <c r="A10" s="42" t="s">
        <v>152</v>
      </c>
      <c r="B10" s="37" t="s">
        <v>153</v>
      </c>
      <c r="C10" s="41"/>
      <c r="D10" s="35">
        <v>14</v>
      </c>
      <c r="E10" s="36">
        <v>19094</v>
      </c>
      <c r="F10" s="5">
        <f>16*(E10)</f>
        <v>305504</v>
      </c>
      <c r="G10" s="5" t="s">
        <v>189</v>
      </c>
      <c r="H10" s="48" t="s">
        <v>212</v>
      </c>
    </row>
    <row r="11" spans="1:8" ht="118.15" x14ac:dyDescent="0.6">
      <c r="A11" s="43"/>
      <c r="B11" s="38" t="s">
        <v>155</v>
      </c>
      <c r="C11" s="41"/>
      <c r="D11" s="35">
        <v>1</v>
      </c>
      <c r="E11" s="5">
        <v>8452</v>
      </c>
      <c r="F11" s="5">
        <f t="shared" si="0"/>
        <v>8452</v>
      </c>
      <c r="G11" s="5" t="s">
        <v>193</v>
      </c>
      <c r="H11" s="5" t="s">
        <v>194</v>
      </c>
    </row>
    <row r="12" spans="1:8" x14ac:dyDescent="0.6">
      <c r="A12" s="43"/>
      <c r="B12" s="39" t="s">
        <v>72</v>
      </c>
      <c r="D12" s="35">
        <v>1</v>
      </c>
      <c r="E12" s="5">
        <v>58500</v>
      </c>
      <c r="F12" s="5">
        <f t="shared" si="0"/>
        <v>58500</v>
      </c>
      <c r="G12" s="5" t="s">
        <v>190</v>
      </c>
      <c r="H12" s="48" t="s">
        <v>220</v>
      </c>
    </row>
    <row r="13" spans="1:8" ht="50.65" x14ac:dyDescent="0.6">
      <c r="A13" s="43"/>
      <c r="B13" s="39" t="s">
        <v>158</v>
      </c>
      <c r="C13" s="40" t="s">
        <v>199</v>
      </c>
      <c r="D13" s="35">
        <v>1</v>
      </c>
      <c r="E13" s="5">
        <v>2500</v>
      </c>
      <c r="F13" s="5">
        <f t="shared" si="0"/>
        <v>2500</v>
      </c>
      <c r="G13" s="5" t="s">
        <v>191</v>
      </c>
      <c r="H13" s="5" t="s">
        <v>192</v>
      </c>
    </row>
    <row r="14" spans="1:8" ht="101.25" x14ac:dyDescent="0.6">
      <c r="A14" s="43"/>
      <c r="B14" s="38" t="s">
        <v>160</v>
      </c>
      <c r="C14" s="35"/>
      <c r="D14" s="35">
        <v>1</v>
      </c>
      <c r="E14" s="5">
        <v>8500</v>
      </c>
      <c r="F14" s="5">
        <f t="shared" si="0"/>
        <v>8500</v>
      </c>
      <c r="G14" s="5"/>
      <c r="H14" s="5" t="s">
        <v>208</v>
      </c>
    </row>
    <row r="15" spans="1:8" ht="50.65" x14ac:dyDescent="0.6">
      <c r="A15" s="43"/>
      <c r="B15" s="38" t="s">
        <v>162</v>
      </c>
      <c r="C15" s="35"/>
      <c r="D15" s="35">
        <v>4</v>
      </c>
      <c r="E15" s="5">
        <v>3000</v>
      </c>
      <c r="F15" s="5">
        <f>E15</f>
        <v>3000</v>
      </c>
      <c r="G15" s="5" t="s">
        <v>198</v>
      </c>
      <c r="H15" s="5" t="s">
        <v>197</v>
      </c>
    </row>
    <row r="16" spans="1:8" ht="50.65" x14ac:dyDescent="0.6">
      <c r="A16" s="44"/>
      <c r="B16" s="38" t="s">
        <v>164</v>
      </c>
      <c r="C16" s="35"/>
      <c r="D16" s="35">
        <v>2</v>
      </c>
      <c r="E16" s="5">
        <v>2748</v>
      </c>
      <c r="F16" s="5">
        <f>4*E16</f>
        <v>10992</v>
      </c>
      <c r="G16" s="5" t="s">
        <v>195</v>
      </c>
      <c r="H16" s="5" t="s">
        <v>196</v>
      </c>
    </row>
    <row r="17" spans="1:8" ht="118.15" x14ac:dyDescent="0.6">
      <c r="A17" s="42" t="s">
        <v>165</v>
      </c>
      <c r="B17" s="35" t="s">
        <v>46</v>
      </c>
      <c r="C17" s="35"/>
      <c r="D17" s="35">
        <v>1</v>
      </c>
      <c r="E17" s="5">
        <v>1700</v>
      </c>
      <c r="F17" s="5">
        <v>1700</v>
      </c>
      <c r="G17" s="5"/>
      <c r="H17" s="5" t="s">
        <v>207</v>
      </c>
    </row>
    <row r="18" spans="1:8" x14ac:dyDescent="0.6">
      <c r="A18" s="43"/>
      <c r="B18" s="35" t="s">
        <v>115</v>
      </c>
      <c r="C18" s="35"/>
      <c r="D18" s="35">
        <v>1</v>
      </c>
      <c r="E18" s="5">
        <v>18000</v>
      </c>
      <c r="F18" s="5">
        <f t="shared" si="0"/>
        <v>18000</v>
      </c>
      <c r="G18" s="5"/>
      <c r="H18" s="5" t="s">
        <v>206</v>
      </c>
    </row>
    <row r="19" spans="1:8" x14ac:dyDescent="0.6">
      <c r="A19" s="43"/>
      <c r="B19" s="35" t="s">
        <v>117</v>
      </c>
      <c r="C19" s="35"/>
      <c r="D19" s="35">
        <v>1</v>
      </c>
      <c r="E19" s="5">
        <v>33600</v>
      </c>
      <c r="F19" s="5">
        <f t="shared" si="0"/>
        <v>33600</v>
      </c>
      <c r="G19" s="5" t="s">
        <v>219</v>
      </c>
      <c r="H19" s="5" t="s">
        <v>218</v>
      </c>
    </row>
    <row r="20" spans="1:8" ht="118.15" x14ac:dyDescent="0.6">
      <c r="A20" s="43"/>
      <c r="B20" s="35" t="s">
        <v>168</v>
      </c>
      <c r="C20" s="35"/>
      <c r="D20" s="35">
        <v>1</v>
      </c>
      <c r="E20" s="5">
        <v>1500</v>
      </c>
      <c r="F20" s="5">
        <f t="shared" si="0"/>
        <v>1500</v>
      </c>
      <c r="G20" s="5">
        <v>4</v>
      </c>
      <c r="H20" s="5" t="s">
        <v>217</v>
      </c>
    </row>
    <row r="21" spans="1:8" x14ac:dyDescent="0.6">
      <c r="A21" s="43"/>
      <c r="B21" s="35" t="s">
        <v>169</v>
      </c>
      <c r="C21" s="35"/>
      <c r="D21" s="35">
        <v>1</v>
      </c>
      <c r="E21" s="5"/>
      <c r="F21" s="5">
        <f t="shared" si="0"/>
        <v>0</v>
      </c>
      <c r="G21" s="5"/>
      <c r="H21" s="5"/>
    </row>
    <row r="22" spans="1:8" x14ac:dyDescent="0.6">
      <c r="A22" s="43"/>
      <c r="B22" s="35" t="s">
        <v>170</v>
      </c>
      <c r="C22" s="35"/>
      <c r="D22" s="35">
        <v>1</v>
      </c>
      <c r="E22" s="5"/>
      <c r="F22" s="5">
        <f t="shared" si="0"/>
        <v>0</v>
      </c>
      <c r="G22" s="5"/>
      <c r="H22" s="5"/>
    </row>
    <row r="23" spans="1:8" ht="118.15" x14ac:dyDescent="0.6">
      <c r="A23" s="44"/>
      <c r="B23" s="35" t="s">
        <v>171</v>
      </c>
      <c r="C23" s="35"/>
      <c r="D23" s="35">
        <v>3</v>
      </c>
      <c r="E23" s="5">
        <v>6170</v>
      </c>
      <c r="F23" s="5">
        <v>6170</v>
      </c>
      <c r="G23" s="5" t="s">
        <v>216</v>
      </c>
      <c r="H23" s="5" t="s">
        <v>215</v>
      </c>
    </row>
    <row r="24" spans="1:8" x14ac:dyDescent="0.6">
      <c r="A24" s="42" t="s">
        <v>172</v>
      </c>
      <c r="B24" s="35" t="s">
        <v>173</v>
      </c>
      <c r="C24" s="35"/>
      <c r="D24" s="35">
        <v>1</v>
      </c>
      <c r="E24" s="5"/>
      <c r="F24" s="5">
        <f t="shared" si="0"/>
        <v>0</v>
      </c>
      <c r="G24" s="5"/>
      <c r="H24" s="5"/>
    </row>
    <row r="25" spans="1:8" x14ac:dyDescent="0.6">
      <c r="A25" s="43"/>
      <c r="B25" s="35" t="s">
        <v>174</v>
      </c>
      <c r="C25" s="35"/>
      <c r="D25" s="35">
        <v>1</v>
      </c>
      <c r="E25" s="5"/>
      <c r="F25" s="5">
        <f t="shared" si="0"/>
        <v>0</v>
      </c>
      <c r="G25" s="5"/>
      <c r="H25" s="5"/>
    </row>
    <row r="26" spans="1:8" x14ac:dyDescent="0.6">
      <c r="A26" s="43"/>
      <c r="B26" s="35" t="s">
        <v>175</v>
      </c>
      <c r="C26" s="35"/>
      <c r="D26" s="35">
        <v>3</v>
      </c>
      <c r="E26" s="5"/>
      <c r="F26" s="5">
        <f t="shared" si="0"/>
        <v>0</v>
      </c>
      <c r="G26" s="5"/>
      <c r="H26" s="5"/>
    </row>
    <row r="27" spans="1:8" x14ac:dyDescent="0.6">
      <c r="A27" s="43"/>
      <c r="B27" s="35" t="s">
        <v>111</v>
      </c>
      <c r="C27" s="35"/>
      <c r="D27" s="35">
        <v>1</v>
      </c>
      <c r="E27" s="5"/>
      <c r="F27" s="5">
        <f t="shared" si="0"/>
        <v>0</v>
      </c>
      <c r="G27" s="5"/>
      <c r="H27" s="5"/>
    </row>
    <row r="28" spans="1:8" x14ac:dyDescent="0.6">
      <c r="A28" s="43"/>
      <c r="B28" s="35" t="s">
        <v>178</v>
      </c>
      <c r="C28" s="35"/>
      <c r="D28" s="35">
        <v>4</v>
      </c>
      <c r="E28" s="5"/>
      <c r="F28" s="5">
        <f t="shared" si="0"/>
        <v>0</v>
      </c>
      <c r="G28" s="5"/>
      <c r="H28" s="5"/>
    </row>
    <row r="29" spans="1:8" x14ac:dyDescent="0.6">
      <c r="A29" s="43"/>
      <c r="B29" s="35" t="s">
        <v>180</v>
      </c>
      <c r="C29" s="35"/>
      <c r="D29" s="35">
        <v>1</v>
      </c>
      <c r="E29" s="5"/>
      <c r="F29" s="5">
        <f t="shared" si="0"/>
        <v>0</v>
      </c>
      <c r="G29" s="5"/>
      <c r="H29" s="5"/>
    </row>
    <row r="30" spans="1:8" x14ac:dyDescent="0.6">
      <c r="A30" s="44"/>
      <c r="B30" s="35" t="s">
        <v>113</v>
      </c>
      <c r="C30" s="35"/>
      <c r="D30" s="35">
        <v>1</v>
      </c>
      <c r="E30" s="5"/>
      <c r="F30" s="5">
        <f t="shared" si="0"/>
        <v>0</v>
      </c>
      <c r="G30" s="5"/>
      <c r="H30" s="5"/>
    </row>
    <row r="31" spans="1:8" x14ac:dyDescent="0.6">
      <c r="F31" s="5">
        <f>SUM(F2:F30)</f>
        <v>479883</v>
      </c>
    </row>
  </sheetData>
  <mergeCells count="4">
    <mergeCell ref="A2:A9"/>
    <mergeCell ref="A10:A16"/>
    <mergeCell ref="A17:A23"/>
    <mergeCell ref="A24:A30"/>
  </mergeCells>
  <phoneticPr fontId="19" type="noConversion"/>
  <hyperlinks>
    <hyperlink ref="H4" r:id="rId1" display="https://ko.aliexpress.com/item/1005012432601159.html?spm=a2g0o.cart.0.0.43485ea2IKZauB&amp;mp=1&amp;pdp_npi=6%40dis%21KRW%21KRW%203448%21KRW%203240%21%21KRW%203240%21%21%21%40212a6df517893153370553915e0fda%2112000058362683244%21ct%21KR%218166665694%21%211%210%21&amp;gatewayAdapt=glo2kor" xr:uid="{5247C762-4C68-4316-8C3B-7A472BA77F46}"/>
    <hyperlink ref="H10" r:id="rId2" xr:uid="{91B50BCA-1738-4B96-BF04-7CFDEC12818F}"/>
    <hyperlink ref="H12" r:id="rId3" xr:uid="{618615CF-34E9-4FDC-8588-EE49483204EB}"/>
  </hyperlinks>
  <pageMargins left="0.7" right="0.7" top="0.75" bottom="0.75" header="0.3" footer="0.3"/>
  <pageSetup paperSize="9" orientation="portrait"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2"/>
  <sheetViews>
    <sheetView workbookViewId="0">
      <pane ySplit="1" topLeftCell="A9" activePane="bottomLeft" state="frozen"/>
      <selection pane="bottomLeft" activeCell="B24" sqref="B24"/>
    </sheetView>
  </sheetViews>
  <sheetFormatPr defaultRowHeight="16.899999999999999" x14ac:dyDescent="0.6"/>
  <cols>
    <col min="1" max="1" width="16" customWidth="1"/>
    <col min="2" max="2" width="34" customWidth="1"/>
    <col min="3" max="3" width="6" customWidth="1"/>
    <col min="4" max="5" width="11" customWidth="1"/>
    <col min="6" max="6" width="15" customWidth="1"/>
    <col min="7" max="7" width="42" customWidth="1"/>
  </cols>
  <sheetData>
    <row r="1" spans="1:7" x14ac:dyDescent="0.6">
      <c r="A1" s="31" t="s">
        <v>131</v>
      </c>
      <c r="B1" s="31" t="s">
        <v>132</v>
      </c>
      <c r="C1" s="31" t="s">
        <v>20</v>
      </c>
      <c r="D1" s="31" t="s">
        <v>133</v>
      </c>
      <c r="E1" s="31" t="s">
        <v>134</v>
      </c>
      <c r="F1" s="31" t="s">
        <v>135</v>
      </c>
      <c r="G1" s="32" t="s">
        <v>136</v>
      </c>
    </row>
    <row r="2" spans="1:7" x14ac:dyDescent="0.6">
      <c r="A2" s="33" t="s">
        <v>137</v>
      </c>
      <c r="B2" s="33" t="s">
        <v>138</v>
      </c>
      <c r="C2" s="33">
        <v>2</v>
      </c>
      <c r="D2" s="34">
        <v>5</v>
      </c>
      <c r="E2" s="34">
        <v>10</v>
      </c>
      <c r="F2" s="33" t="s">
        <v>139</v>
      </c>
      <c r="G2" s="35" t="s">
        <v>140</v>
      </c>
    </row>
    <row r="3" spans="1:7" x14ac:dyDescent="0.6">
      <c r="A3" s="33" t="s">
        <v>137</v>
      </c>
      <c r="B3" s="33" t="s">
        <v>141</v>
      </c>
      <c r="C3" s="33">
        <v>1</v>
      </c>
      <c r="D3" s="34">
        <v>4.99</v>
      </c>
      <c r="E3" s="34">
        <v>4.99</v>
      </c>
      <c r="F3" s="33" t="s">
        <v>142</v>
      </c>
      <c r="G3" s="35"/>
    </row>
    <row r="4" spans="1:7" x14ac:dyDescent="0.6">
      <c r="A4" s="33" t="s">
        <v>137</v>
      </c>
      <c r="B4" s="33" t="s">
        <v>52</v>
      </c>
      <c r="C4" s="33">
        <v>1</v>
      </c>
      <c r="D4" s="34">
        <v>8.4</v>
      </c>
      <c r="E4" s="34">
        <v>8.4</v>
      </c>
      <c r="F4" s="33" t="s">
        <v>143</v>
      </c>
      <c r="G4" s="35"/>
    </row>
    <row r="5" spans="1:7" x14ac:dyDescent="0.6">
      <c r="A5" s="33" t="s">
        <v>137</v>
      </c>
      <c r="B5" s="33" t="s">
        <v>144</v>
      </c>
      <c r="C5" s="33">
        <v>1</v>
      </c>
      <c r="D5" s="34">
        <v>4</v>
      </c>
      <c r="E5" s="34">
        <v>4</v>
      </c>
      <c r="F5" s="33" t="s">
        <v>145</v>
      </c>
      <c r="G5" s="35"/>
    </row>
    <row r="6" spans="1:7" x14ac:dyDescent="0.6">
      <c r="A6" s="33" t="s">
        <v>137</v>
      </c>
      <c r="B6" s="33" t="s">
        <v>63</v>
      </c>
      <c r="C6" s="33">
        <v>1</v>
      </c>
      <c r="D6" s="34">
        <v>4.49</v>
      </c>
      <c r="E6" s="34">
        <v>4.49</v>
      </c>
      <c r="F6" s="33" t="s">
        <v>142</v>
      </c>
      <c r="G6" s="35" t="s">
        <v>146</v>
      </c>
    </row>
    <row r="7" spans="1:7" x14ac:dyDescent="0.6">
      <c r="A7" s="33" t="s">
        <v>137</v>
      </c>
      <c r="B7" s="33" t="s">
        <v>147</v>
      </c>
      <c r="C7" s="33">
        <v>1</v>
      </c>
      <c r="D7" s="34">
        <v>9.99</v>
      </c>
      <c r="E7" s="34">
        <v>9.99</v>
      </c>
      <c r="F7" s="33" t="s">
        <v>142</v>
      </c>
      <c r="G7" s="35" t="s">
        <v>146</v>
      </c>
    </row>
    <row r="8" spans="1:7" x14ac:dyDescent="0.6">
      <c r="A8" s="33" t="s">
        <v>137</v>
      </c>
      <c r="B8" s="33" t="s">
        <v>148</v>
      </c>
      <c r="C8" s="33">
        <v>2</v>
      </c>
      <c r="D8" s="34">
        <v>1</v>
      </c>
      <c r="E8" s="34">
        <v>2</v>
      </c>
      <c r="F8" s="33" t="s">
        <v>142</v>
      </c>
      <c r="G8" s="35" t="s">
        <v>149</v>
      </c>
    </row>
    <row r="9" spans="1:7" x14ac:dyDescent="0.6">
      <c r="A9" s="33" t="s">
        <v>137</v>
      </c>
      <c r="B9" s="33" t="s">
        <v>150</v>
      </c>
      <c r="C9" s="33">
        <v>1</v>
      </c>
      <c r="D9" s="34">
        <v>8</v>
      </c>
      <c r="E9" s="34">
        <v>8</v>
      </c>
      <c r="F9" s="33" t="s">
        <v>142</v>
      </c>
      <c r="G9" s="35" t="s">
        <v>151</v>
      </c>
    </row>
    <row r="10" spans="1:7" x14ac:dyDescent="0.6">
      <c r="A10" s="33" t="s">
        <v>152</v>
      </c>
      <c r="B10" s="33" t="s">
        <v>153</v>
      </c>
      <c r="C10" s="33">
        <v>14</v>
      </c>
      <c r="D10" s="34">
        <v>14</v>
      </c>
      <c r="E10" s="34">
        <v>196</v>
      </c>
      <c r="F10" s="33" t="s">
        <v>145</v>
      </c>
      <c r="G10" s="35" t="s">
        <v>154</v>
      </c>
    </row>
    <row r="11" spans="1:7" x14ac:dyDescent="0.6">
      <c r="A11" s="33" t="s">
        <v>152</v>
      </c>
      <c r="B11" s="33" t="s">
        <v>155</v>
      </c>
      <c r="C11" s="33">
        <v>1</v>
      </c>
      <c r="D11" s="34">
        <v>40</v>
      </c>
      <c r="E11" s="34">
        <v>40</v>
      </c>
      <c r="F11" s="33" t="s">
        <v>142</v>
      </c>
      <c r="G11" s="35" t="s">
        <v>156</v>
      </c>
    </row>
    <row r="12" spans="1:7" x14ac:dyDescent="0.6">
      <c r="A12" s="33" t="s">
        <v>152</v>
      </c>
      <c r="B12" s="33" t="s">
        <v>72</v>
      </c>
      <c r="C12" s="33">
        <v>1</v>
      </c>
      <c r="D12" s="34">
        <v>26.08</v>
      </c>
      <c r="E12" s="34">
        <v>26.08</v>
      </c>
      <c r="F12" s="33" t="s">
        <v>157</v>
      </c>
      <c r="G12" s="35"/>
    </row>
    <row r="13" spans="1:7" x14ac:dyDescent="0.6">
      <c r="A13" s="33" t="s">
        <v>152</v>
      </c>
      <c r="B13" s="33" t="s">
        <v>158</v>
      </c>
      <c r="C13" s="33">
        <v>1</v>
      </c>
      <c r="D13" s="34">
        <v>10</v>
      </c>
      <c r="E13" s="34">
        <v>10</v>
      </c>
      <c r="F13" s="33" t="s">
        <v>142</v>
      </c>
      <c r="G13" s="35" t="s">
        <v>159</v>
      </c>
    </row>
    <row r="14" spans="1:7" x14ac:dyDescent="0.6">
      <c r="A14" s="33" t="s">
        <v>152</v>
      </c>
      <c r="B14" s="33" t="s">
        <v>160</v>
      </c>
      <c r="C14" s="33">
        <v>1</v>
      </c>
      <c r="D14" s="34">
        <v>5</v>
      </c>
      <c r="E14" s="34">
        <v>5</v>
      </c>
      <c r="F14" s="33" t="s">
        <v>161</v>
      </c>
      <c r="G14" s="35"/>
    </row>
    <row r="15" spans="1:7" x14ac:dyDescent="0.6">
      <c r="A15" s="33" t="s">
        <v>152</v>
      </c>
      <c r="B15" s="33" t="s">
        <v>162</v>
      </c>
      <c r="C15" s="33">
        <v>4</v>
      </c>
      <c r="D15" s="34">
        <v>1</v>
      </c>
      <c r="E15" s="34">
        <v>4</v>
      </c>
      <c r="F15" s="33" t="s">
        <v>163</v>
      </c>
      <c r="G15" s="35"/>
    </row>
    <row r="16" spans="1:7" x14ac:dyDescent="0.6">
      <c r="A16" s="33" t="s">
        <v>152</v>
      </c>
      <c r="B16" s="33" t="s">
        <v>164</v>
      </c>
      <c r="C16" s="33">
        <v>2</v>
      </c>
      <c r="D16" s="34">
        <v>3.33</v>
      </c>
      <c r="E16" s="34">
        <v>6.66</v>
      </c>
      <c r="F16" s="33" t="s">
        <v>142</v>
      </c>
      <c r="G16" s="35"/>
    </row>
    <row r="17" spans="1:7" x14ac:dyDescent="0.6">
      <c r="A17" s="33" t="s">
        <v>165</v>
      </c>
      <c r="B17" s="33" t="s">
        <v>46</v>
      </c>
      <c r="C17" s="33">
        <v>1</v>
      </c>
      <c r="D17" s="34">
        <v>5.99</v>
      </c>
      <c r="E17" s="34">
        <v>5.99</v>
      </c>
      <c r="F17" s="33" t="s">
        <v>142</v>
      </c>
      <c r="G17" s="35"/>
    </row>
    <row r="18" spans="1:7" x14ac:dyDescent="0.6">
      <c r="A18" s="33" t="s">
        <v>165</v>
      </c>
      <c r="B18" s="33" t="s">
        <v>115</v>
      </c>
      <c r="C18" s="33">
        <v>1</v>
      </c>
      <c r="D18" s="34">
        <v>20</v>
      </c>
      <c r="E18" s="34">
        <v>20</v>
      </c>
      <c r="F18" s="33"/>
      <c r="G18" s="35" t="s">
        <v>166</v>
      </c>
    </row>
    <row r="19" spans="1:7" x14ac:dyDescent="0.6">
      <c r="A19" s="33" t="s">
        <v>165</v>
      </c>
      <c r="B19" s="33" t="s">
        <v>117</v>
      </c>
      <c r="C19" s="33">
        <v>1</v>
      </c>
      <c r="D19" s="34">
        <v>0</v>
      </c>
      <c r="E19" s="34">
        <v>0</v>
      </c>
      <c r="F19" s="33"/>
      <c r="G19" s="35" t="s">
        <v>167</v>
      </c>
    </row>
    <row r="20" spans="1:7" x14ac:dyDescent="0.6">
      <c r="A20" s="33" t="s">
        <v>165</v>
      </c>
      <c r="B20" s="33" t="s">
        <v>168</v>
      </c>
      <c r="C20" s="33">
        <v>1</v>
      </c>
      <c r="D20" s="34">
        <v>9</v>
      </c>
      <c r="E20" s="34">
        <v>9</v>
      </c>
      <c r="F20" s="33" t="s">
        <v>142</v>
      </c>
      <c r="G20" s="35"/>
    </row>
    <row r="21" spans="1:7" x14ac:dyDescent="0.6">
      <c r="A21" s="33" t="s">
        <v>165</v>
      </c>
      <c r="B21" s="33" t="s">
        <v>169</v>
      </c>
      <c r="C21" s="33">
        <v>1</v>
      </c>
      <c r="D21" s="34">
        <v>7</v>
      </c>
      <c r="E21" s="34">
        <v>7</v>
      </c>
      <c r="F21" s="33" t="s">
        <v>142</v>
      </c>
      <c r="G21" s="35"/>
    </row>
    <row r="22" spans="1:7" x14ac:dyDescent="0.6">
      <c r="A22" s="33" t="s">
        <v>165</v>
      </c>
      <c r="B22" s="33" t="s">
        <v>170</v>
      </c>
      <c r="C22" s="33">
        <v>1</v>
      </c>
      <c r="D22" s="34">
        <v>6</v>
      </c>
      <c r="E22" s="34">
        <v>6</v>
      </c>
      <c r="F22" s="33" t="s">
        <v>142</v>
      </c>
      <c r="G22" s="35"/>
    </row>
    <row r="23" spans="1:7" x14ac:dyDescent="0.6">
      <c r="A23" s="33" t="s">
        <v>165</v>
      </c>
      <c r="B23" s="33" t="s">
        <v>171</v>
      </c>
      <c r="C23" s="33">
        <v>3</v>
      </c>
      <c r="D23" s="34">
        <v>3.5</v>
      </c>
      <c r="E23" s="34">
        <v>10.5</v>
      </c>
      <c r="F23" s="33" t="s">
        <v>142</v>
      </c>
      <c r="G23" s="35"/>
    </row>
    <row r="24" spans="1:7" x14ac:dyDescent="0.6">
      <c r="A24" s="33" t="s">
        <v>172</v>
      </c>
      <c r="B24" s="33" t="s">
        <v>173</v>
      </c>
      <c r="C24" s="33">
        <v>1</v>
      </c>
      <c r="D24" s="34">
        <v>2</v>
      </c>
      <c r="E24" s="34">
        <v>2</v>
      </c>
      <c r="F24" s="33" t="s">
        <v>163</v>
      </c>
      <c r="G24" s="35"/>
    </row>
    <row r="25" spans="1:7" x14ac:dyDescent="0.6">
      <c r="A25" s="33" t="s">
        <v>172</v>
      </c>
      <c r="B25" s="33" t="s">
        <v>174</v>
      </c>
      <c r="C25" s="33">
        <v>1</v>
      </c>
      <c r="D25" s="34">
        <v>6</v>
      </c>
      <c r="E25" s="34">
        <v>6</v>
      </c>
      <c r="F25" s="33" t="s">
        <v>142</v>
      </c>
      <c r="G25" s="35"/>
    </row>
    <row r="26" spans="1:7" x14ac:dyDescent="0.6">
      <c r="A26" s="33" t="s">
        <v>172</v>
      </c>
      <c r="B26" s="33" t="s">
        <v>175</v>
      </c>
      <c r="C26" s="33">
        <v>3</v>
      </c>
      <c r="D26" s="34">
        <v>0.2</v>
      </c>
      <c r="E26" s="34">
        <v>0.6</v>
      </c>
      <c r="F26" s="33" t="s">
        <v>142</v>
      </c>
      <c r="G26" s="35" t="s">
        <v>176</v>
      </c>
    </row>
    <row r="27" spans="1:7" x14ac:dyDescent="0.6">
      <c r="A27" s="33" t="s">
        <v>172</v>
      </c>
      <c r="B27" s="33" t="s">
        <v>111</v>
      </c>
      <c r="C27" s="33">
        <v>1</v>
      </c>
      <c r="D27" s="34">
        <v>15</v>
      </c>
      <c r="E27" s="34">
        <v>15</v>
      </c>
      <c r="F27" s="33" t="s">
        <v>142</v>
      </c>
      <c r="G27" s="35" t="s">
        <v>177</v>
      </c>
    </row>
    <row r="28" spans="1:7" x14ac:dyDescent="0.6">
      <c r="A28" s="33" t="s">
        <v>172</v>
      </c>
      <c r="B28" s="49" t="s">
        <v>213</v>
      </c>
      <c r="C28" s="33">
        <v>4</v>
      </c>
      <c r="D28" s="34">
        <v>0.16</v>
      </c>
      <c r="E28" s="34">
        <v>0.64</v>
      </c>
      <c r="F28" s="33" t="s">
        <v>142</v>
      </c>
      <c r="G28" s="35" t="s">
        <v>179</v>
      </c>
    </row>
    <row r="29" spans="1:7" x14ac:dyDescent="0.6">
      <c r="A29" s="33" t="s">
        <v>172</v>
      </c>
      <c r="B29" s="33" t="s">
        <v>180</v>
      </c>
      <c r="C29" s="33">
        <v>1</v>
      </c>
      <c r="D29" s="34">
        <v>5</v>
      </c>
      <c r="E29" s="34">
        <v>5</v>
      </c>
      <c r="F29" s="33" t="s">
        <v>142</v>
      </c>
      <c r="G29" s="35" t="s">
        <v>181</v>
      </c>
    </row>
    <row r="30" spans="1:7" x14ac:dyDescent="0.6">
      <c r="A30" s="33" t="s">
        <v>172</v>
      </c>
      <c r="B30" s="33" t="s">
        <v>113</v>
      </c>
      <c r="C30" s="33">
        <v>1</v>
      </c>
      <c r="D30" s="34">
        <v>5</v>
      </c>
      <c r="E30" s="34">
        <v>5</v>
      </c>
      <c r="F30" s="33" t="s">
        <v>163</v>
      </c>
      <c r="G30" s="35" t="s">
        <v>182</v>
      </c>
    </row>
    <row r="31" spans="1:7" x14ac:dyDescent="0.6">
      <c r="B31" s="22" t="s">
        <v>183</v>
      </c>
    </row>
    <row r="32" spans="1:7" x14ac:dyDescent="0.6">
      <c r="B32" s="30" t="s">
        <v>184</v>
      </c>
    </row>
  </sheetData>
  <phoneticPr fontId="19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설정</vt:lpstr>
      <vt:lpstr>발주</vt:lpstr>
      <vt:lpstr>bom링크</vt:lpstr>
      <vt:lpstr>업스트림원본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소연 박</cp:lastModifiedBy>
  <dcterms:created xsi:type="dcterms:W3CDTF">2026-09-12T15:54:28Z</dcterms:created>
  <dcterms:modified xsi:type="dcterms:W3CDTF">2026-09-14T05:15:57Z</dcterms:modified>
</cp:coreProperties>
</file>